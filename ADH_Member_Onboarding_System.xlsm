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20001_{BC6F1741-AC08-4DFD-8E49-CB398275B148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1" r:id="rId1"/>
    <sheet name="NEW MEMBER REGISTRATION" sheetId="2" r:id="rId2"/>
    <sheet name="MEMBER_DB" sheetId="3" r:id="rId3"/>
    <sheet name="EMPLOYER_GROUPS" sheetId="4" r:id="rId4"/>
    <sheet name="REPORTS" sheetId="5" r:id="rId5"/>
    <sheet name="VBA MODULE" sheetId="6" state="hidden" r:id="rId6"/>
    <sheet name="ACTIVITY_LOG" sheetId="7" state="hidden" r:id="rId7"/>
  </sheets>
  <definedNames>
    <definedName name="_xlnm._FilterDatabase" localSheetId="3" hidden="1">EMPLOYER_GROUPS!$A$1:$L$9</definedName>
    <definedName name="_xlnm._FilterDatabase" localSheetId="2" hidden="1">MEMBER_DB!$A$1:$P$13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5" l="1"/>
  <c r="E13" i="5"/>
  <c r="E12" i="5"/>
  <c r="E11" i="5"/>
  <c r="E10" i="5"/>
  <c r="E9" i="5"/>
  <c r="E8" i="5"/>
  <c r="E3" i="2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G7" i="1"/>
  <c r="F7" i="1"/>
  <c r="E7" i="1"/>
  <c r="D7" i="1"/>
  <c r="C7" i="1"/>
  <c r="B7" i="1"/>
</calcChain>
</file>

<file path=xl/sharedStrings.xml><?xml version="1.0" encoding="utf-8"?>
<sst xmlns="http://schemas.openxmlformats.org/spreadsheetml/2006/main" count="680" uniqueCount="526">
  <si>
    <t xml:space="preserve">  ALPHA DIRECT HEALTH  |  MEMBER ONBOARDING SYSTEM  —  DASHBOARD</t>
  </si>
  <si>
    <t>Reporting Period: March 2026  ·  Auto-refreshes on open</t>
  </si>
  <si>
    <t xml:space="preserve">  KEY PERFORMANCE INDICATORS</t>
  </si>
  <si>
    <t>TOTAL MEMBERS</t>
  </si>
  <si>
    <t>ACTIVE</t>
  </si>
  <si>
    <t>PENDING</t>
  </si>
  <si>
    <t>NEW THIS MONTH</t>
  </si>
  <si>
    <t>EMPLOYER GROUPS</t>
  </si>
  <si>
    <t>FAMILY PLANS</t>
  </si>
  <si>
    <t>All registered</t>
  </si>
  <si>
    <t>Fully onboarded</t>
  </si>
  <si>
    <t>Awaiting approval</t>
  </si>
  <si>
    <t>Enrolled this month</t>
  </si>
  <si>
    <t>Corporate clients</t>
  </si>
  <si>
    <t>Family cover</t>
  </si>
  <si>
    <t xml:space="preserve">  ONBOARDING PIPELINE</t>
  </si>
  <si>
    <t>Stage</t>
  </si>
  <si>
    <t>Count</t>
  </si>
  <si>
    <t>% of Total</t>
  </si>
  <si>
    <t>Avg. Days</t>
  </si>
  <si>
    <t>RAG</t>
  </si>
  <si>
    <t>1 · Application Received</t>
  </si>
  <si>
    <t>●</t>
  </si>
  <si>
    <t>2 · Documents Verified</t>
  </si>
  <si>
    <t>3 · Medical Assessment</t>
  </si>
  <si>
    <t>4 · Underwriting Review</t>
  </si>
  <si>
    <t>5 · Policy Issued</t>
  </si>
  <si>
    <t>6 · Active</t>
  </si>
  <si>
    <t>7 · Pending</t>
  </si>
  <si>
    <t>8 · Suspended</t>
  </si>
  <si>
    <t xml:space="preserve">  LAST 5 REGISTRATIONS</t>
  </si>
  <si>
    <t>Member ID</t>
  </si>
  <si>
    <t>Full Name</t>
  </si>
  <si>
    <t>Plan</t>
  </si>
  <si>
    <t>Employer</t>
  </si>
  <si>
    <t>Date Enrolled</t>
  </si>
  <si>
    <t>Status</t>
  </si>
  <si>
    <t>Officer</t>
  </si>
  <si>
    <t xml:space="preserve">  ALPHA DIRECT HEALTH  |  NEW MEMBER REGISTRATION FORM</t>
  </si>
  <si>
    <t xml:space="preserve">  Complete all required (*) fields and click REGISTER MEMBER</t>
  </si>
  <si>
    <t>Auto Member ID:</t>
  </si>
  <si>
    <t xml:space="preserve">  SECTION 1  —  PERSONAL INFORMATION</t>
  </si>
  <si>
    <t>First Name *</t>
  </si>
  <si>
    <t>Middle Name</t>
  </si>
  <si>
    <t>Last Name *</t>
  </si>
  <si>
    <t>Date of Birth *</t>
  </si>
  <si>
    <t>National ID / Omang *</t>
  </si>
  <si>
    <t>Gender *</t>
  </si>
  <si>
    <t>Nationality</t>
  </si>
  <si>
    <t>Marital Status</t>
  </si>
  <si>
    <t>Phone Number *</t>
  </si>
  <si>
    <t>Email Address</t>
  </si>
  <si>
    <t xml:space="preserve">  SECTION 2  —  RESIDENTIAL ADDRESS</t>
  </si>
  <si>
    <t>Street Address *</t>
  </si>
  <si>
    <t>Suburb / Area</t>
  </si>
  <si>
    <t>City *</t>
  </si>
  <si>
    <t>District</t>
  </si>
  <si>
    <t>Country</t>
  </si>
  <si>
    <t>Postal Code</t>
  </si>
  <si>
    <t xml:space="preserve">  SECTION 3  —  PLAN &amp; COVER DETAILS</t>
  </si>
  <si>
    <t>Plan Type *</t>
  </si>
  <si>
    <t>Employer Group</t>
  </si>
  <si>
    <t>Benefit Option *</t>
  </si>
  <si>
    <t>Start Date *</t>
  </si>
  <si>
    <t>Premium Category *</t>
  </si>
  <si>
    <t>Dependants (number)</t>
  </si>
  <si>
    <t xml:space="preserve">  SECTION 4  —  EMERGENCY CONTACT</t>
  </si>
  <si>
    <t>Emergency Contact Name</t>
  </si>
  <si>
    <t>Relationship</t>
  </si>
  <si>
    <t>Emergency Contact Phone</t>
  </si>
  <si>
    <t>Beneficiary Name</t>
  </si>
  <si>
    <t>Notes / Remarks</t>
  </si>
  <si>
    <t>[ REGISTER MEMBER  —  Run Macro ]</t>
  </si>
  <si>
    <t>[ CLEAR FORM  —  Run Macro ]</t>
  </si>
  <si>
    <t>ID Number</t>
  </si>
  <si>
    <t>Date of Birth</t>
  </si>
  <si>
    <t>Plan Type</t>
  </si>
  <si>
    <t>Benefit Option</t>
  </si>
  <si>
    <t>Phone</t>
  </si>
  <si>
    <t>Email</t>
  </si>
  <si>
    <t>City</t>
  </si>
  <si>
    <t>Premium Cat.</t>
  </si>
  <si>
    <t>Dependants</t>
  </si>
  <si>
    <t>Notes</t>
  </si>
  <si>
    <t>ADH-2025-0001</t>
  </si>
  <si>
    <t>Mpho Sithole</t>
  </si>
  <si>
    <t>9802145678901</t>
  </si>
  <si>
    <t>2025-01-15</t>
  </si>
  <si>
    <t>1998-02-14</t>
  </si>
  <si>
    <t>Choppies Retail Ltd</t>
  </si>
  <si>
    <t>Individual</t>
  </si>
  <si>
    <t>Active</t>
  </si>
  <si>
    <t>Option B (Standard)</t>
  </si>
  <si>
    <t>K. Kgosimore</t>
  </si>
  <si>
    <t>+267 73976563</t>
  </si>
  <si>
    <t>mpho@email.bw</t>
  </si>
  <si>
    <t>Gaborone</t>
  </si>
  <si>
    <t>P2 - Principal + Spouse</t>
  </si>
  <si>
    <t>ADH-2025-0002</t>
  </si>
  <si>
    <t>Kefilwe Mokoena</t>
  </si>
  <si>
    <t>9506238901234</t>
  </si>
  <si>
    <t>2025-01-22</t>
  </si>
  <si>
    <t>1995-06-23</t>
  </si>
  <si>
    <t>BTC Botswana</t>
  </si>
  <si>
    <t>Family</t>
  </si>
  <si>
    <t>Option C (Comprehensive)</t>
  </si>
  <si>
    <t>+267 73979764</t>
  </si>
  <si>
    <t>kefilwe@email.bw</t>
  </si>
  <si>
    <t>P3 - Family (up to 3)</t>
  </si>
  <si>
    <t>ADH-2025-0003</t>
  </si>
  <si>
    <t>Tebogo Ngwato</t>
  </si>
  <si>
    <t>0112074512345</t>
  </si>
  <si>
    <t>2025-02-03</t>
  </si>
  <si>
    <t>2001-12-07</t>
  </si>
  <si>
    <t>Debswana Mining</t>
  </si>
  <si>
    <t>Option D (Premium)</t>
  </si>
  <si>
    <t>+267 71856760</t>
  </si>
  <si>
    <t>tebogo@email.bw</t>
  </si>
  <si>
    <t>Francistown</t>
  </si>
  <si>
    <t>P4 - Family (4+)</t>
  </si>
  <si>
    <t>ADH-2025-0004</t>
  </si>
  <si>
    <t>Lorato Ditlhabi</t>
  </si>
  <si>
    <t>8809152345678</t>
  </si>
  <si>
    <t>2025-02-14</t>
  </si>
  <si>
    <t>1988-09-15</t>
  </si>
  <si>
    <t>Self</t>
  </si>
  <si>
    <t>Option A (Basic)</t>
  </si>
  <si>
    <t>+267 71529157</t>
  </si>
  <si>
    <t>lorato@email.bw</t>
  </si>
  <si>
    <t>Maun</t>
  </si>
  <si>
    <t>P1 - Principal Only</t>
  </si>
  <si>
    <t>ADH-2025-0005</t>
  </si>
  <si>
    <t>Goitseone Selato</t>
  </si>
  <si>
    <t>9304265678912</t>
  </si>
  <si>
    <t>2025-02-28</t>
  </si>
  <si>
    <t>1993-04-26</t>
  </si>
  <si>
    <t>Botswana Life</t>
  </si>
  <si>
    <t>Group</t>
  </si>
  <si>
    <t>Pending</t>
  </si>
  <si>
    <t>+267 74401425</t>
  </si>
  <si>
    <t>goitseone@email.bw</t>
  </si>
  <si>
    <t>ADH-2025-0006</t>
  </si>
  <si>
    <t>Phenyo Ramokate</t>
  </si>
  <si>
    <t>0007153456789</t>
  </si>
  <si>
    <t>2025-03-01</t>
  </si>
  <si>
    <t>2000-07-15</t>
  </si>
  <si>
    <t>+267 77037709</t>
  </si>
  <si>
    <t>phenyo@email.bw</t>
  </si>
  <si>
    <t>ADH-2025-0007</t>
  </si>
  <si>
    <t>Ditiro Moseki</t>
  </si>
  <si>
    <t>9611024567890</t>
  </si>
  <si>
    <t>2025-03-05</t>
  </si>
  <si>
    <t>1996-11-02</t>
  </si>
  <si>
    <t>FNBB</t>
  </si>
  <si>
    <t>Documents Verified</t>
  </si>
  <si>
    <t>+267 74053221</t>
  </si>
  <si>
    <t>ditiro@email.bw</t>
  </si>
  <si>
    <t>ADH-2025-0008</t>
  </si>
  <si>
    <t>Kelebogile Tau</t>
  </si>
  <si>
    <t>8003186789012</t>
  </si>
  <si>
    <t>2025-03-08</t>
  </si>
  <si>
    <t>1980-03-18</t>
  </si>
  <si>
    <t>Retired</t>
  </si>
  <si>
    <t>Pensioner</t>
  </si>
  <si>
    <t>Medical Assessment</t>
  </si>
  <si>
    <t>+267 77350486</t>
  </si>
  <si>
    <t>kelebogile@email.bw</t>
  </si>
  <si>
    <t>Lobatse</t>
  </si>
  <si>
    <t>ADH-2025-0009</t>
  </si>
  <si>
    <t>Oratile Sengayi</t>
  </si>
  <si>
    <t>9807228901234</t>
  </si>
  <si>
    <t>2025-03-10</t>
  </si>
  <si>
    <t>1998-07-22</t>
  </si>
  <si>
    <t>Wilderness Safaris</t>
  </si>
  <si>
    <t>Underwriting Review</t>
  </si>
  <si>
    <t>+267 71243147</t>
  </si>
  <si>
    <t>oratile@email.bw</t>
  </si>
  <si>
    <t>Kasane</t>
  </si>
  <si>
    <t>ADH-2025-0010</t>
  </si>
  <si>
    <t>Boipelo Kgasi</t>
  </si>
  <si>
    <t>9201073456789</t>
  </si>
  <si>
    <t>2025-03-12</t>
  </si>
  <si>
    <t>1992-01-07</t>
  </si>
  <si>
    <t>Barclays Botswana</t>
  </si>
  <si>
    <t>Policy Issued</t>
  </si>
  <si>
    <t>+267 79560320</t>
  </si>
  <si>
    <t>boipelo@email.bw</t>
  </si>
  <si>
    <t>ADH-2025-0011</t>
  </si>
  <si>
    <t>Thabo Mothibi</t>
  </si>
  <si>
    <t>7905193678901</t>
  </si>
  <si>
    <t>2025-03-15</t>
  </si>
  <si>
    <t>1979-05-19</t>
  </si>
  <si>
    <t>BHC</t>
  </si>
  <si>
    <t>Suspended</t>
  </si>
  <si>
    <t>+267 79765095</t>
  </si>
  <si>
    <t>thabo@email.bw</t>
  </si>
  <si>
    <t>ADH-2025-0012</t>
  </si>
  <si>
    <t>Ntombi Phirie</t>
  </si>
  <si>
    <t>2025-03-18</t>
  </si>
  <si>
    <t>2001-05-24</t>
  </si>
  <si>
    <t>Botswana Meat Commission</t>
  </si>
  <si>
    <t>Application Received</t>
  </si>
  <si>
    <t>+267 71070618</t>
  </si>
  <si>
    <t>ntombi@email.bw</t>
  </si>
  <si>
    <t>Group ID</t>
  </si>
  <si>
    <t>Employer Name</t>
  </si>
  <si>
    <t>Industry</t>
  </si>
  <si>
    <t>Contact Person</t>
  </si>
  <si>
    <t>Scheme</t>
  </si>
  <si>
    <t>Members</t>
  </si>
  <si>
    <t>Contract Start</t>
  </si>
  <si>
    <t>Contract End</t>
  </si>
  <si>
    <t>Account Manager</t>
  </si>
  <si>
    <t>EMP-001</t>
  </si>
  <si>
    <t>Retail</t>
  </si>
  <si>
    <t>HR Manager</t>
  </si>
  <si>
    <t>72123456</t>
  </si>
  <si>
    <t>hr@choppies.co.bw</t>
  </si>
  <si>
    <t>3</t>
  </si>
  <si>
    <t>2024-01-01</t>
  </si>
  <si>
    <t>2025-12-31</t>
  </si>
  <si>
    <t>EMP-002</t>
  </si>
  <si>
    <t>Telecoms</t>
  </si>
  <si>
    <t>Benefits Admin</t>
  </si>
  <si>
    <t>72234567</t>
  </si>
  <si>
    <t>benefits@btc.bw</t>
  </si>
  <si>
    <t>1</t>
  </si>
  <si>
    <t>2024-03-01</t>
  </si>
  <si>
    <t>EMP-003</t>
  </si>
  <si>
    <t>Mining</t>
  </si>
  <si>
    <t>HR Director</t>
  </si>
  <si>
    <t>72345678</t>
  </si>
  <si>
    <t>hr@debswana.com</t>
  </si>
  <si>
    <t>2024-06-01</t>
  </si>
  <si>
    <t>2025-05-31</t>
  </si>
  <si>
    <t>EMP-004</t>
  </si>
  <si>
    <t>Insurance</t>
  </si>
  <si>
    <t>Admin Officer</t>
  </si>
  <si>
    <t>72456789</t>
  </si>
  <si>
    <t>admin@botswanalife.co.bw</t>
  </si>
  <si>
    <t>2025-01-01</t>
  </si>
  <si>
    <t>EMP-005</t>
  </si>
  <si>
    <t>Banking</t>
  </si>
  <si>
    <t>HR Officer</t>
  </si>
  <si>
    <t>72567890</t>
  </si>
  <si>
    <t>hr@fnbb.co.bw</t>
  </si>
  <si>
    <t>2024-09-01</t>
  </si>
  <si>
    <t>2025-08-31</t>
  </si>
  <si>
    <t>Renewal Due</t>
  </si>
  <si>
    <t>EMP-006</t>
  </si>
  <si>
    <t>Payroll Mgr</t>
  </si>
  <si>
    <t>72678901</t>
  </si>
  <si>
    <t>payroll@barclays.co.bw</t>
  </si>
  <si>
    <t>2024-11-01</t>
  </si>
  <si>
    <t>2025-10-31</t>
  </si>
  <si>
    <t>EMP-007</t>
  </si>
  <si>
    <t>Govt / Housing</t>
  </si>
  <si>
    <t>72789012</t>
  </si>
  <si>
    <t>hr@bhc.org.bw</t>
  </si>
  <si>
    <t>2025-02-01</t>
  </si>
  <si>
    <t>2026-01-31</t>
  </si>
  <si>
    <t>EMP-008</t>
  </si>
  <si>
    <t>Govt / Agriculture</t>
  </si>
  <si>
    <t>Admin</t>
  </si>
  <si>
    <t>72890123</t>
  </si>
  <si>
    <t>admin@bmc.co.bw</t>
  </si>
  <si>
    <t>2026-02-28</t>
  </si>
  <si>
    <t xml:space="preserve">  ALPHA DIRECT HEALTH  |  ONBOARDING REPORT  —  March 2026</t>
  </si>
  <si>
    <t xml:space="preserve">  Auto-generated · 22 March 2026 09:57</t>
  </si>
  <si>
    <t xml:space="preserve">  EXECUTIVE SUMMARY</t>
  </si>
  <si>
    <t>Total Members</t>
  </si>
  <si>
    <t>Active Members</t>
  </si>
  <si>
    <t>Pending Approval</t>
  </si>
  <si>
    <t>Suspended Accounts</t>
  </si>
  <si>
    <t>Employer Groups</t>
  </si>
  <si>
    <t>Individual Plans</t>
  </si>
  <si>
    <t xml:space="preserve">  EFFICIENCY METRICS</t>
  </si>
  <si>
    <t>Avg. Days to Activate</t>
  </si>
  <si>
    <t>~4.2 days</t>
  </si>
  <si>
    <t>Processing Time Saved (Python)</t>
  </si>
  <si>
    <t>60% reduction</t>
  </si>
  <si>
    <t>Form Completion Rate</t>
  </si>
  <si>
    <t>94.3%</t>
  </si>
  <si>
    <t>Data Entry Errors (month)</t>
  </si>
  <si>
    <t>Pending &gt; 7 Days</t>
  </si>
  <si>
    <t>[ GENERATE PDF REPORT  —  Run Macro: GeneratePDFReport ]</t>
  </si>
  <si>
    <t xml:space="preserve">  VBA CODE  —  Alt+F11 &gt; Insert &gt; Module &gt; Paste all code below</t>
  </si>
  <si>
    <t>'==============================================================================</t>
  </si>
  <si>
    <t>'  ALPHA DIRECT HEALTH - MEMBER ONBOARDING AUTOMATION SYSTEM</t>
  </si>
  <si>
    <t>'  Author  : Kgosimore Kgosimore  |  Business &amp; Data Analyst</t>
  </si>
  <si>
    <t>'  Purpose : Automate member registration, ID generation,</t>
  </si>
  <si>
    <t>'            validation, status tracking &amp; PDF report generation</t>
  </si>
  <si>
    <t>'  Version : 1.0  |  March 2025</t>
  </si>
  <si>
    <t>'  GitHub  : github.com/datakg0si</t>
  </si>
  <si>
    <t>Option Explicit</t>
  </si>
  <si>
    <t>'------------------------------------------------------------------------------</t>
  </si>
  <si>
    <t>'  1. REGISTER MEMBER - Main automation routine</t>
  </si>
  <si>
    <t>Sub RegisterMember()</t>
  </si>
  <si>
    <t xml:space="preserve">    Dim ws_reg As Worksheet, ws_db As Worksheet</t>
  </si>
  <si>
    <t xml:space="preserve">    Dim lastRow As Long, newID As String, missingFields As String</t>
  </si>
  <si>
    <t xml:space="preserve">    Set ws_reg = ThisWorkbook.Sheets("NEW MEMBER REGISTRATION")</t>
  </si>
  <si>
    <t xml:space="preserve">    Set ws_db  = ThisWorkbook.Sheets("MEMBER_DB")</t>
  </si>
  <si>
    <t xml:space="preserve">    '-- Required field validation</t>
  </si>
  <si>
    <t xml:space="preserve">    missingFields = ""</t>
  </si>
  <si>
    <t xml:space="preserve">    If ws_reg.Range("C6").Value  = "" Then missingFields = missingFields &amp; "- First Name" &amp; Chr(13)</t>
  </si>
  <si>
    <t xml:space="preserve">    If ws_reg.Range("C8").Value  = "" Then missingFields = missingFields &amp; "- Last Name" &amp; Chr(13)</t>
  </si>
  <si>
    <t xml:space="preserve">    If ws_reg.Range("F8").Value  = "" Then missingFields = missingFields &amp; "- Date of Birth" &amp; Chr(13)</t>
  </si>
  <si>
    <t xml:space="preserve">    If ws_reg.Range("C10").Value = "" Then missingFields = missingFields &amp; "- National ID / Omang" &amp; Chr(13)</t>
  </si>
  <si>
    <t xml:space="preserve">    If ws_reg.Range("F10").Value = "" Then missingFields = missingFields &amp; "- Gender" &amp; Chr(13)</t>
  </si>
  <si>
    <t xml:space="preserve">    If ws_reg.Range("C14").Value = "" Then missingFields = missingFields &amp; "- Phone Number" &amp; Chr(13)</t>
  </si>
  <si>
    <t xml:space="preserve">    If ws_reg.Range("C19").Value = "" Then missingFields = missingFields &amp; "- City" &amp; Chr(13)</t>
  </si>
  <si>
    <t xml:space="preserve">    If ws_reg.Range("C24").Value = "" Then missingFields = missingFields &amp; "- Plan Type" &amp; Chr(13)</t>
  </si>
  <si>
    <t xml:space="preserve">    If ws_reg.Range("C26").Value = "" Then missingFields = missingFields &amp; "- Benefit Option" &amp; Chr(13)</t>
  </si>
  <si>
    <t xml:space="preserve">    If ws_reg.Range("F26").Value = "" Then missingFields = missingFields &amp; "- Start Date" &amp; Chr(13)</t>
  </si>
  <si>
    <t xml:space="preserve">    If missingFields &lt;&gt; "" Then</t>
  </si>
  <si>
    <t xml:space="preserve">        MsgBox "Please complete the following required fields:" &amp; Chr(13) &amp; Chr(13) &amp; _</t>
  </si>
  <si>
    <t xml:space="preserve">               missingFields, vbExclamation, "Registration Incomplete"</t>
  </si>
  <si>
    <t xml:space="preserve">        Exit Sub</t>
  </si>
  <si>
    <t xml:space="preserve">    End If</t>
  </si>
  <si>
    <t xml:space="preserve">    '-- Duplicate Omang / ID Number check</t>
  </si>
  <si>
    <t xml:space="preserve">    Dim checkID As String, found As Range</t>
  </si>
  <si>
    <t xml:space="preserve">    checkID = ws_reg.Range("C10").Value</t>
  </si>
  <si>
    <t xml:space="preserve">    Set found = ws_db.Columns(3).Find(What:=checkID, LookAt:=xlWhole)</t>
  </si>
  <si>
    <t xml:space="preserve">    If Not found Is Nothing Then</t>
  </si>
  <si>
    <t xml:space="preserve">        MsgBox "A member with ID number '" &amp; checkID &amp; "' already exists (" &amp; _</t>
  </si>
  <si>
    <t xml:space="preserve">               ws_db.Cells(found.Row, 1).Value &amp; ")." &amp; Chr(13) &amp; _</t>
  </si>
  <si>
    <t xml:space="preserve">               "Duplicate registration blocked.", vbCritical, "Duplicate Detected"</t>
  </si>
  <si>
    <t xml:space="preserve">    '-- Generate next sequential Member ID</t>
  </si>
  <si>
    <t xml:space="preserve">    lastRow = ws_db.Cells(ws_db.Rows.Count, 1).End(xlUp).Row</t>
  </si>
  <si>
    <t xml:space="preserve">    newID   = "ADH-2025-" &amp; Format(lastRow, "0000")</t>
  </si>
  <si>
    <t xml:space="preserve">    '-- Write all fields to MEMBER_DB</t>
  </si>
  <si>
    <t xml:space="preserve">    Dim r As Long: r = lastRow + 1</t>
  </si>
  <si>
    <t xml:space="preserve">    ws_db.Cells(r, 1).Value  = newID</t>
  </si>
  <si>
    <t xml:space="preserve">    ws_db.Cells(r, 2).Value  = Trim(ws_reg.Range("C6").Value) &amp; " " &amp; Trim(ws_reg.Range("C8").Value)</t>
  </si>
  <si>
    <t xml:space="preserve">    ws_db.Cells(r, 3).Value  = ws_reg.Range("C10").Value</t>
  </si>
  <si>
    <t xml:space="preserve">    ws_db.Cells(r, 4).Value  = ws_reg.Range("F26").Value</t>
  </si>
  <si>
    <t xml:space="preserve">    ws_db.Cells(r, 5).Value  = ws_reg.Range("F8").Value</t>
  </si>
  <si>
    <t xml:space="preserve">    ws_db.Cells(r, 6).Value  = ws_reg.Range("F24").Value</t>
  </si>
  <si>
    <t xml:space="preserve">    ws_db.Cells(r, 7).Value  = ws_reg.Range("C24").Value</t>
  </si>
  <si>
    <t xml:space="preserve">    ws_db.Cells(r, 8).Value  = "Application Received"</t>
  </si>
  <si>
    <t xml:space="preserve">    ws_db.Cells(r, 9).Value  = ws_reg.Range("C26").Value</t>
  </si>
  <si>
    <t xml:space="preserve">    ws_db.Cells(r, 10).Value = "K. Kgosimore"</t>
  </si>
  <si>
    <t xml:space="preserve">    ws_db.Cells(r, 11).Value = ws_reg.Range("C14").Value</t>
  </si>
  <si>
    <t xml:space="preserve">    ws_db.Cells(r, 12).Value = ws_reg.Range("F14").Value</t>
  </si>
  <si>
    <t xml:space="preserve">    ws_db.Cells(r, 13).Value = ws_reg.Range("C19").Value</t>
  </si>
  <si>
    <t xml:space="preserve">    ws_db.Cells(r, 14).Value = ws_reg.Range("C28").Value</t>
  </si>
  <si>
    <t xml:space="preserve">    ws_db.Cells(r, 15).Value = ws_reg.Range("F28").Value</t>
  </si>
  <si>
    <t xml:space="preserve">    ws_db.Cells(r, 16).Value = ws_reg.Range("C35").Value</t>
  </si>
  <si>
    <t xml:space="preserve">    '-- Apply row styling</t>
  </si>
  <si>
    <t xml:space="preserve">    Call FormatDBRow(ws_db, r)</t>
  </si>
  <si>
    <t xml:space="preserve">    '-- Write to activity log</t>
  </si>
  <si>
    <t xml:space="preserve">    Call LogActivity(newID, "Registration", "Member registered - Plan: " &amp; ws_reg.Range("C24").Value)</t>
  </si>
  <si>
    <t xml:space="preserve">    '-- Confirm and offer to clear form</t>
  </si>
  <si>
    <t xml:space="preserve">    Dim ans As VbMsgBoxResult</t>
  </si>
  <si>
    <t xml:space="preserve">    ans = MsgBox("Member registered successfully!" &amp; Chr(13) &amp; Chr(13) &amp; _</t>
  </si>
  <si>
    <t xml:space="preserve">                 "Member ID  : " &amp; newID &amp; Chr(13) &amp; _</t>
  </si>
  <si>
    <t xml:space="preserve">                 "Full Name  : " &amp; ws_db.Cells(r, 2).Value &amp; Chr(13) &amp; _</t>
  </si>
  <si>
    <t xml:space="preserve">                 "Plan Type  : " &amp; ws_db.Cells(r, 7).Value &amp; Chr(13) &amp; Chr(13) &amp; _</t>
  </si>
  <si>
    <t xml:space="preserve">                 "Clear the form for the next registration?", _</t>
  </si>
  <si>
    <t xml:space="preserve">                 vbYesNo + vbInformation, "Registration Complete")</t>
  </si>
  <si>
    <t xml:space="preserve">    If ans = vbYes Then Call ClearRegistrationForm</t>
  </si>
  <si>
    <t>End Sub</t>
  </si>
  <si>
    <t>'  2. CLEAR REGISTRATION FORM</t>
  </si>
  <si>
    <t>Sub ClearRegistrationForm()</t>
  </si>
  <si>
    <t xml:space="preserve">    Dim ws_reg As Worksheet</t>
  </si>
  <si>
    <t xml:space="preserve">    Dim cells_to_clear As Variant</t>
  </si>
  <si>
    <t xml:space="preserve">    cells_to_clear = Array("C6","F6","C8","F8","C10","F10","C12","F12", _</t>
  </si>
  <si>
    <t xml:space="preserve">                           "C14","F14","C17","F17","C19","F19","C21","F21", _</t>
  </si>
  <si>
    <t xml:space="preserve">                           "C24","F24","C26","F26","C28","F28", _</t>
  </si>
  <si>
    <t xml:space="preserve">                           "C31","F31","C33","F33","C35")</t>
  </si>
  <si>
    <t xml:space="preserve">    Dim i As Integer</t>
  </si>
  <si>
    <t xml:space="preserve">    For i = 0 To UBound(cells_to_clear)</t>
  </si>
  <si>
    <t xml:space="preserve">        ws_reg.Range(cells_to_clear(i)).ClearContents</t>
  </si>
  <si>
    <t xml:space="preserve">    Next i</t>
  </si>
  <si>
    <t xml:space="preserve">    ws_reg.Range("C6").Select</t>
  </si>
  <si>
    <t xml:space="preserve">    MsgBox "Form cleared. Ready for next registration.", vbInformation, "Form Cleared"</t>
  </si>
  <si>
    <t>'  3. UPDATE MEMBER STATUS</t>
  </si>
  <si>
    <t>Sub UpdateMemberStatus()</t>
  </si>
  <si>
    <t xml:space="preserve">    Dim ws_db As Worksheet</t>
  </si>
  <si>
    <t xml:space="preserve">    Set ws_db = ThisWorkbook.Sheets("MEMBER_DB")</t>
  </si>
  <si>
    <t xml:space="preserve">    Dim memberID As String</t>
  </si>
  <si>
    <t xml:space="preserve">    memberID = InputBox("Enter Member ID to update (e.g. ADH-2025-0001):", "Update Status")</t>
  </si>
  <si>
    <t xml:space="preserve">    If memberID = "" Then Exit Sub</t>
  </si>
  <si>
    <t xml:space="preserve">    Dim found As Range</t>
  </si>
  <si>
    <t xml:space="preserve">    Set found = ws_db.Columns(1).Find(What:=memberID, LookAt:=xlWhole)</t>
  </si>
  <si>
    <t xml:space="preserve">    If found Is Nothing Then</t>
  </si>
  <si>
    <t xml:space="preserve">        MsgBox "Member ID '" &amp; memberID &amp; "' not found.", vbExclamation, "Not Found"</t>
  </si>
  <si>
    <t xml:space="preserve">    Dim validStatuses As String</t>
  </si>
  <si>
    <t xml:space="preserve">    validStatuses = "Application Received,Documents Verified,Medical Assessment," &amp; _</t>
  </si>
  <si>
    <t xml:space="preserve">                    "Underwriting Review,Policy Issued,Active,Pending,Suspended"</t>
  </si>
  <si>
    <t xml:space="preserve">    Dim newStatus As String</t>
  </si>
  <si>
    <t xml:space="preserve">    newStatus = InputBox("Member: " &amp; ws_db.Cells(found.Row, 2).Value &amp; Chr(13) &amp; _</t>
  </si>
  <si>
    <t xml:space="preserve">                         "Current Status: " &amp; ws_db.Cells(found.Row, 8).Value &amp; Chr(13) &amp; Chr(13) &amp; _</t>
  </si>
  <si>
    <t xml:space="preserve">                         "Valid statuses:" &amp; Chr(13) &amp; _</t>
  </si>
  <si>
    <t xml:space="preserve">                         Join(Split(validStatuses, ","), Chr(13)) &amp; Chr(13) &amp; Chr(13) &amp; _</t>
  </si>
  <si>
    <t xml:space="preserve">                         "Enter new status:", "Update Member Status")</t>
  </si>
  <si>
    <t xml:space="preserve">    If newStatus = "" Then Exit Sub</t>
  </si>
  <si>
    <t xml:space="preserve">    If InStr(1, validStatuses, newStatus, vbTextCompare) = 0 Then</t>
  </si>
  <si>
    <t xml:space="preserve">        MsgBox "'" &amp; newStatus &amp; "' is not a valid status. Please use one of the listed options.", _</t>
  </si>
  <si>
    <t xml:space="preserve">               vbExclamation, "Invalid Status"</t>
  </si>
  <si>
    <t xml:space="preserve">    Dim prevStatus As String</t>
  </si>
  <si>
    <t xml:space="preserve">    prevStatus = ws_db.Cells(found.Row, 8).Value</t>
  </si>
  <si>
    <t xml:space="preserve">    ws_db.Cells(found.Row, 8).Value = newStatus</t>
  </si>
  <si>
    <t xml:space="preserve">    Call FormatStatusCell(ws_db.Cells(found.Row, 8), newStatus)</t>
  </si>
  <si>
    <t xml:space="preserve">    Call LogActivity(memberID, "Status Update", prevStatus &amp; " -&gt; " &amp; newStatus)</t>
  </si>
  <si>
    <t xml:space="preserve">    MsgBox "Status updated successfully." &amp; Chr(13) &amp; Chr(13) &amp; _</t>
  </si>
  <si>
    <t xml:space="preserve">           "Member  : " &amp; ws_db.Cells(found.Row, 2).Value &amp; Chr(13) &amp; _</t>
  </si>
  <si>
    <t xml:space="preserve">           "Previous: " &amp; prevStatus &amp; Chr(13) &amp; _</t>
  </si>
  <si>
    <t xml:space="preserve">           "New     : " &amp; newStatus, vbInformation, "Status Updated"</t>
  </si>
  <si>
    <t>'  4. SEARCH MEMBER</t>
  </si>
  <si>
    <t>Sub SearchMember()</t>
  </si>
  <si>
    <t xml:space="preserve">    Dim q As String</t>
  </si>
  <si>
    <t xml:space="preserve">    q = InputBox("Search by Member ID or Full Name:", "Member Search")</t>
  </si>
  <si>
    <t xml:space="preserve">    If q = "" Then Exit Sub</t>
  </si>
  <si>
    <t xml:space="preserve">    Set found = ws_db.Columns(1).Find(What:=q, LookAt:=xlWhole, MatchCase:=False)</t>
  </si>
  <si>
    <t xml:space="preserve">    If found Is Nothing Then _</t>
  </si>
  <si>
    <t xml:space="preserve">        Set found = ws_db.Columns(2).Find(What:=q, LookAt:=xlPart, MatchCase:=False)</t>
  </si>
  <si>
    <t xml:space="preserve">        MsgBox "No member found matching '" &amp; q &amp; "'.", vbExclamation, "Not Found"</t>
  </si>
  <si>
    <t xml:space="preserve">    Else</t>
  </si>
  <si>
    <t xml:space="preserve">        ws_db.Activate</t>
  </si>
  <si>
    <t xml:space="preserve">        ws_db.Cells(found.Row, 1).Select</t>
  </si>
  <si>
    <t xml:space="preserve">        MsgBox "Member Found:" &amp; Chr(13) &amp; Chr(13) &amp; _</t>
  </si>
  <si>
    <t xml:space="preserve">               "ID       : " &amp; ws_db.Cells(found.Row, 1).Value &amp; Chr(13) &amp; _</t>
  </si>
  <si>
    <t xml:space="preserve">               "Name     : " &amp; ws_db.Cells(found.Row, 2).Value &amp; Chr(13) &amp; _</t>
  </si>
  <si>
    <t xml:space="preserve">               "Status   : " &amp; ws_db.Cells(found.Row, 8).Value &amp; Chr(13) &amp; _</t>
  </si>
  <si>
    <t xml:space="preserve">               "Plan     : " &amp; ws_db.Cells(found.Row, 7).Value &amp; Chr(13) &amp; _</t>
  </si>
  <si>
    <t xml:space="preserve">               "Employer : " &amp; ws_db.Cells(found.Row, 6).Value, _</t>
  </si>
  <si>
    <t xml:space="preserve">               vbInformation, "Member Found"</t>
  </si>
  <si>
    <t>'  5. GENERATE PDF REPORT</t>
  </si>
  <si>
    <t>Sub GeneratePDFReport()</t>
  </si>
  <si>
    <t xml:space="preserve">    Dim ws_rep As Worksheet</t>
  </si>
  <si>
    <t xml:space="preserve">    Set ws_rep = ThisWorkbook.Sheets("REPORTS")</t>
  </si>
  <si>
    <t xml:space="preserve">    Dim savePath As String</t>
  </si>
  <si>
    <t xml:space="preserve">    savePath = Environ("USERPROFILE") &amp; "\Desktop\ADH_Onboarding_Report_" &amp; _</t>
  </si>
  <si>
    <t xml:space="preserve">               Format(Now(), "YYYYMMDD_HHMM") &amp; ".pdf"</t>
  </si>
  <si>
    <t xml:space="preserve">    ws_rep.ExportAsFixedFormat Type:=xlTypePDF, Filename:=savePath, _</t>
  </si>
  <si>
    <t xml:space="preserve">        Quality:=xlQualityStandard, IncludeDocProperties:=True, _</t>
  </si>
  <si>
    <t xml:space="preserve">        IgnorePrintAreas:=False, OpenAfterPublish:=True</t>
  </si>
  <si>
    <t xml:space="preserve">    Call LogActivity("SYSTEM", "PDF Export", "Report exported to: " &amp; savePath)</t>
  </si>
  <si>
    <t xml:space="preserve">    MsgBox "Report saved to your Desktop:" &amp; Chr(13) &amp; savePath, _</t>
  </si>
  <si>
    <t xml:space="preserve">           vbInformation, "PDF Report Generated"</t>
  </si>
  <si>
    <t>'  6. FORMAT STATUS CELL (reusable helper)</t>
  </si>
  <si>
    <t>Sub FormatStatusCell(c As Range, status As String)</t>
  </si>
  <si>
    <t xml:space="preserve">    With c</t>
  </si>
  <si>
    <t xml:space="preserve">        .Font.Bold = True</t>
  </si>
  <si>
    <t xml:space="preserve">        .Font.Size = 9</t>
  </si>
  <si>
    <t xml:space="preserve">        .Font.Name = "Arial"</t>
  </si>
  <si>
    <t xml:space="preserve">        .HorizontalAlignment = xlCenter</t>
  </si>
  <si>
    <t xml:space="preserve">        Select Case status</t>
  </si>
  <si>
    <t xml:space="preserve">            Case "Active"</t>
  </si>
  <si>
    <t xml:space="preserve">                .Interior.Color = RGB(212, 237, 218)</t>
  </si>
  <si>
    <t xml:space="preserve">                .Font.Color     = RGB(30, 138, 76)</t>
  </si>
  <si>
    <t xml:space="preserve">            Case "Suspended"</t>
  </si>
  <si>
    <t xml:space="preserve">                .Interior.Color = RGB(253, 236, 234)</t>
  </si>
  <si>
    <t xml:space="preserve">                .Font.Color     = RGB(192, 57, 43)</t>
  </si>
  <si>
    <t xml:space="preserve">            Case "Pending", "Application Received"</t>
  </si>
  <si>
    <t xml:space="preserve">                .Interior.Color = RGB(255, 243, 205)</t>
  </si>
  <si>
    <t xml:space="preserve">                .Font.Color     = RGB(230, 130, 10)</t>
  </si>
  <si>
    <t xml:space="preserve">            Case Else</t>
  </si>
  <si>
    <t xml:space="preserve">                .Interior.Color = RGB(232, 240, 254)</t>
  </si>
  <si>
    <t xml:space="preserve">                .Font.Color     = RGB(26, 86, 219)</t>
  </si>
  <si>
    <t xml:space="preserve">        End Select</t>
  </si>
  <si>
    <t xml:space="preserve">    End With</t>
  </si>
  <si>
    <t>'  7. FORMAT DB ROW (reusable helper)</t>
  </si>
  <si>
    <t>Sub FormatDBRow(ws As Worksheet, r As Long)</t>
  </si>
  <si>
    <t xml:space="preserve">    Dim c As Long</t>
  </si>
  <si>
    <t xml:space="preserve">    For c = 1 To 16</t>
  </si>
  <si>
    <t xml:space="preserve">        With ws.Cells(r, c)</t>
  </si>
  <si>
    <t xml:space="preserve">            .Font.Name = "Arial": .Font.Size = 9</t>
  </si>
  <si>
    <t xml:space="preserve">            .HorizontalAlignment = xlCenter</t>
  </si>
  <si>
    <t xml:space="preserve">            .Borders(xlEdgeLeft).LineStyle   = xlContinuous</t>
  </si>
  <si>
    <t xml:space="preserve">            .Borders(xlEdgeRight).LineStyle  = xlContinuous</t>
  </si>
  <si>
    <t xml:space="preserve">            .Borders(xlEdgeTop).LineStyle    = xlContinuous</t>
  </si>
  <si>
    <t xml:space="preserve">            .Borders(xlEdgeBottom).LineStyle = xlContinuous</t>
  </si>
  <si>
    <t xml:space="preserve">            .Interior.Color = IIf(r Mod 2 = 0, RGB(255,255,255), RGB(244,246,250))</t>
  </si>
  <si>
    <t xml:space="preserve">        End With</t>
  </si>
  <si>
    <t xml:space="preserve">    Next c</t>
  </si>
  <si>
    <t xml:space="preserve">    Call FormatStatusCell(ws.Cells(r, 8), ws.Cells(r, 8).Value)</t>
  </si>
  <si>
    <t>'  8. ACTIVITY LOGGER</t>
  </si>
  <si>
    <t>Sub LogActivity(memberID As String, action As String, detail As String)</t>
  </si>
  <si>
    <t xml:space="preserve">    Dim ws_log As Worksheet</t>
  </si>
  <si>
    <t xml:space="preserve">    On Error Resume Next</t>
  </si>
  <si>
    <t xml:space="preserve">    Set ws_log = ThisWorkbook.Sheets("ACTIVITY_LOG")</t>
  </si>
  <si>
    <t xml:space="preserve">    On Error GoTo 0</t>
  </si>
  <si>
    <t xml:space="preserve">    If ws_log Is Nothing Then</t>
  </si>
  <si>
    <t xml:space="preserve">        Set ws_log = ThisWorkbook.Sheets.Add(After:=ThisWorkbook.Sheets(ThisWorkbook.Sheets.Count))</t>
  </si>
  <si>
    <t xml:space="preserve">        ws_log.Name = "ACTIVITY_LOG"</t>
  </si>
  <si>
    <t xml:space="preserve">        ws_log.Cells(1,1).Value = "Timestamp"  : ws_log.Cells(1,2).Value = "Member ID"</t>
  </si>
  <si>
    <t xml:space="preserve">        ws_log.Cells(1,3).Value = "Action"     : ws_log.Cells(1,4).Value = "Detail"</t>
  </si>
  <si>
    <t xml:space="preserve">        ws_log.Cells(1,5).Value = "Windows User"</t>
  </si>
  <si>
    <t xml:space="preserve">    Dim lr As Long: lr = ws_log.Cells(ws_log.Rows.Count, 1).End(xlUp).Row + 1</t>
  </si>
  <si>
    <t xml:space="preserve">    ws_log.Cells(lr, 1).Value = Now()</t>
  </si>
  <si>
    <t xml:space="preserve">    ws_log.Cells(lr, 2).Value = memberID</t>
  </si>
  <si>
    <t xml:space="preserve">    ws_log.Cells(lr, 3).Value = action</t>
  </si>
  <si>
    <t xml:space="preserve">    ws_log.Cells(lr, 4).Value = detail</t>
  </si>
  <si>
    <t xml:space="preserve">    ws_log.Cells(lr, 5).Value = Environ("USERNAME")</t>
  </si>
  <si>
    <t>'  HOW TO ACTIVATE VBA:</t>
  </si>
  <si>
    <t>'  1. Open this file in Excel</t>
  </si>
  <si>
    <t>'  2. Press Alt + F11 to open the VBA Editor</t>
  </si>
  <si>
    <t>'  3. Click Insert &gt; Module</t>
  </si>
  <si>
    <t>'  4. Copy and paste ALL code above into the module</t>
  </si>
  <si>
    <t>'  5. Close the VBA editor (Alt + Q)</t>
  </si>
  <si>
    <t>'  6. Right-click the green button on REGISTRATION sheet &gt; Assign Macro</t>
  </si>
  <si>
    <t>'     &gt; Select RegisterMember &gt; OK</t>
  </si>
  <si>
    <t>'  7. Right-click the amber button &gt; Assign Macro &gt; ClearRegistrationForm &gt; OK</t>
  </si>
  <si>
    <t>'  8. Save as .xlsm (Excel Macro-Enabled Workbook)</t>
  </si>
  <si>
    <t>25/02/2025</t>
  </si>
  <si>
    <t xml:space="preserve"> </t>
  </si>
  <si>
    <t>kgosimore26@gmail.com</t>
  </si>
  <si>
    <t>Bots Life</t>
  </si>
  <si>
    <t>22/03/2026</t>
  </si>
  <si>
    <t>Kgosimore Kgosimore</t>
  </si>
  <si>
    <t>ADH-2025-0013</t>
  </si>
  <si>
    <t>Timestamp</t>
  </si>
  <si>
    <t>Action</t>
  </si>
  <si>
    <t>Detail</t>
  </si>
  <si>
    <t>Windows User</t>
  </si>
  <si>
    <t>Registration</t>
  </si>
  <si>
    <t xml:space="preserve">Member registered - Plan:  </t>
  </si>
  <si>
    <t>Kgosim0re</t>
  </si>
  <si>
    <t>SYSTEM</t>
  </si>
  <si>
    <t>PDF Export</t>
  </si>
  <si>
    <t>Report exported to: C:\Users\Administrator\Desktop\ADH_Onboarding_Report_20260322_1235.pdf</t>
  </si>
  <si>
    <t>`</t>
  </si>
  <si>
    <t>Status Update</t>
  </si>
  <si>
    <t>Application Received -&gt; 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</si>
</sst>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1" x14ac:knownFonts="1">
    <font>
      <sz val="11"/>
      <color theme="1"/>
      <name val="Calibri"/>
      <family val="2"/>
      <scheme val="minor"/>
    </font>
    <font>
      <b/>
      <sz val="13"/>
      <color rgb="FFEEC97A"/>
      <name val="Arial"/>
    </font>
    <font>
      <sz val="9"/>
      <color rgb="FF6B7A9B"/>
      <name val="Arial"/>
    </font>
    <font>
      <b/>
      <sz val="9"/>
      <color rgb="FFFFFFFF"/>
      <name val="Arial"/>
    </font>
    <font>
      <sz val="8"/>
      <color rgb="FF6B7A9B"/>
      <name val="Arial"/>
    </font>
    <font>
      <b/>
      <sz val="22"/>
      <color rgb="FF1A2D5A"/>
      <name val="Arial"/>
    </font>
    <font>
      <sz val="9"/>
      <color rgb="FF0D1B3E"/>
      <name val="Arial"/>
    </font>
    <font>
      <b/>
      <sz val="9"/>
      <color rgb="FF1A2D5A"/>
      <name val="Arial"/>
    </font>
    <font>
      <sz val="12"/>
      <color rgb="FF1A56DB"/>
      <name val="Arial"/>
    </font>
    <font>
      <sz val="12"/>
      <color rgb="FF1E8A4C"/>
      <name val="Arial"/>
    </font>
    <font>
      <sz val="12"/>
      <color rgb="FFE6820A"/>
      <name val="Arial"/>
    </font>
    <font>
      <sz val="12"/>
      <color rgb="FFC0392B"/>
      <name val="Arial"/>
    </font>
    <font>
      <sz val="9"/>
      <name val="Arial"/>
    </font>
    <font>
      <b/>
      <sz val="12"/>
      <color rgb="FFD4A843"/>
      <name val="Arial"/>
    </font>
    <font>
      <b/>
      <sz val="10"/>
      <color rgb="FFFFFFFF"/>
      <name val="Arial"/>
    </font>
    <font>
      <b/>
      <sz val="9"/>
      <color rgb="FF1E8A4C"/>
      <name val="Arial"/>
    </font>
    <font>
      <b/>
      <sz val="9"/>
      <color rgb="FFE6820A"/>
      <name val="Arial"/>
    </font>
    <font>
      <b/>
      <sz val="9"/>
      <color rgb="FF1A56DB"/>
      <name val="Arial"/>
    </font>
    <font>
      <b/>
      <sz val="9"/>
      <color rgb="FFC0392B"/>
      <name val="Arial"/>
    </font>
    <font>
      <b/>
      <sz val="14"/>
      <color rgb="FF1A2D5A"/>
      <name val="Arial"/>
    </font>
    <font>
      <b/>
      <sz val="11"/>
      <color rgb="FF1E8A4C"/>
      <name val="Arial"/>
    </font>
    <font>
      <b/>
      <sz val="11"/>
      <color rgb="FFE6820A"/>
      <name val="Arial"/>
    </font>
    <font>
      <b/>
      <sz val="11"/>
      <color rgb="FFC0392B"/>
      <name val="Arial"/>
    </font>
    <font>
      <b/>
      <sz val="10"/>
      <color rgb="FFEEC97A"/>
      <name val="Arial"/>
    </font>
    <font>
      <i/>
      <sz val="9"/>
      <color rgb="FF5C8A5C"/>
      <name val="Courier New"/>
    </font>
    <font>
      <sz val="9"/>
      <color rgb="FF0D1B3E"/>
      <name val="Courier New"/>
    </font>
    <font>
      <sz val="9"/>
      <color rgb="FF1A56DB"/>
      <name val="Courier New"/>
    </font>
    <font>
      <u/>
      <sz val="11"/>
      <color theme="10"/>
      <name val="Calibri"/>
      <family val="2"/>
      <scheme val="minor"/>
    </font>
    <font>
      <sz val="9"/>
      <color theme="1"/>
      <name val="Arial"/>
      <family val="2"/>
    </font>
    <font>
      <sz val="9"/>
      <name val="Arial"/>
      <family val="2"/>
    </font>
    <font>
      <b/>
      <sz val="9"/>
      <color rgb="FF1E8A4C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0D1B3E"/>
      </patternFill>
    </fill>
    <fill>
      <patternFill patternType="solid">
        <fgColor rgb="FFF4F6FA"/>
      </patternFill>
    </fill>
    <fill>
      <patternFill patternType="solid">
        <fgColor rgb="FF1A2D5A"/>
      </patternFill>
    </fill>
    <fill>
      <patternFill patternType="solid">
        <fgColor rgb="FFFFFFFF"/>
      </patternFill>
    </fill>
    <fill>
      <patternFill patternType="solid">
        <fgColor rgb="FFE8F0FE"/>
      </patternFill>
    </fill>
    <fill>
      <patternFill patternType="solid">
        <fgColor rgb="FF1E8A4C"/>
      </patternFill>
    </fill>
    <fill>
      <patternFill patternType="solid">
        <fgColor rgb="FFE6820A"/>
      </patternFill>
    </fill>
    <fill>
      <patternFill patternType="solid">
        <fgColor rgb="FFD4EDDA"/>
      </patternFill>
    </fill>
    <fill>
      <patternFill patternType="solid">
        <fgColor rgb="FFFFF3CD"/>
      </patternFill>
    </fill>
    <fill>
      <patternFill patternType="solid">
        <fgColor rgb="FFFDECEA"/>
      </patternFill>
    </fill>
    <fill>
      <patternFill patternType="solid">
        <fgColor rgb="FFFFFFFF"/>
        <bgColor indexed="64"/>
      </patternFill>
    </fill>
    <fill>
      <patternFill patternType="solid">
        <fgColor rgb="FFD4EDDA"/>
        <bgColor indexed="64"/>
      </patternFill>
    </fill>
  </fills>
  <borders count="15">
    <border>
      <left/>
      <right/>
      <top/>
      <bottom/>
      <diagonal/>
    </border>
    <border>
      <left style="thin">
        <color rgb="FF2D4A7A"/>
      </left>
      <right style="thin">
        <color rgb="FF2D4A7A"/>
      </right>
      <top style="thin">
        <color rgb="FF2D4A7A"/>
      </top>
      <bottom style="thin">
        <color rgb="FF2D4A7A"/>
      </bottom>
      <diagonal/>
    </border>
    <border>
      <left/>
      <right/>
      <top style="thin">
        <color rgb="FF2D4A7A"/>
      </top>
      <bottom/>
      <diagonal/>
    </border>
    <border>
      <left/>
      <right/>
      <top style="thin">
        <color rgb="FF2D4A7A"/>
      </top>
      <bottom style="thin">
        <color rgb="FF2D4A7A"/>
      </bottom>
      <diagonal/>
    </border>
    <border>
      <left/>
      <right style="thin">
        <color rgb="FF2D4A7A"/>
      </right>
      <top style="thin">
        <color rgb="FF2D4A7A"/>
      </top>
      <bottom style="thin">
        <color rgb="FF2D4A7A"/>
      </bottom>
      <diagonal/>
    </border>
    <border>
      <left style="thin">
        <color rgb="FFD0D5E3"/>
      </left>
      <right style="thin">
        <color rgb="FFD0D5E3"/>
      </right>
      <top style="thin">
        <color rgb="FFD0D5E3"/>
      </top>
      <bottom style="thin">
        <color rgb="FFD0D5E3"/>
      </bottom>
      <diagonal/>
    </border>
    <border>
      <left style="thin">
        <color rgb="FF1A56DB"/>
      </left>
      <right style="thin">
        <color rgb="FF1A56DB"/>
      </right>
      <top style="thin">
        <color rgb="FF1A56DB"/>
      </top>
      <bottom style="thin">
        <color rgb="FF1A56DB"/>
      </bottom>
      <diagonal/>
    </border>
    <border>
      <left/>
      <right/>
      <top style="thin">
        <color rgb="FFD0D5E3"/>
      </top>
      <bottom style="thin">
        <color rgb="FFD0D5E3"/>
      </bottom>
      <diagonal/>
    </border>
    <border>
      <left/>
      <right style="thin">
        <color rgb="FFD0D5E3"/>
      </right>
      <top style="thin">
        <color rgb="FFD0D5E3"/>
      </top>
      <bottom style="thin">
        <color rgb="FFD0D5E3"/>
      </bottom>
      <diagonal/>
    </border>
    <border>
      <left style="thin">
        <color indexed="64"/>
      </left>
      <right style="thin">
        <color indexed="64"/>
      </right>
      <top style="thin">
        <color rgb="FFD0D5E3"/>
      </top>
      <bottom style="thin">
        <color indexed="64"/>
      </bottom>
      <diagonal/>
    </border>
    <border>
      <left style="thin">
        <color rgb="FFD0D5E3"/>
      </left>
      <right/>
      <top/>
      <bottom/>
      <diagonal/>
    </border>
    <border>
      <left/>
      <right style="thin">
        <color rgb="FFD0D5E3"/>
      </right>
      <top/>
      <bottom/>
      <diagonal/>
    </border>
    <border>
      <left style="thin">
        <color rgb="FF2D4A7A"/>
      </left>
      <right/>
      <top style="thin">
        <color rgb="FF2D4A7A"/>
      </top>
      <bottom style="thin">
        <color rgb="FF2D4A7A"/>
      </bottom>
      <diagonal/>
    </border>
    <border>
      <left style="thin">
        <color rgb="FFD0D5E3"/>
      </left>
      <right/>
      <top style="thin">
        <color rgb="FF2D4A7A"/>
      </top>
      <bottom/>
      <diagonal/>
    </border>
    <border>
      <left/>
      <right style="thin">
        <color rgb="FFD0D5E3"/>
      </right>
      <top style="thin">
        <color rgb="FF2D4A7A"/>
      </top>
      <bottom/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72">
    <xf numFmtId="0" fontId="0" fillId="0" borderId="0" xfId="0"/>
    <xf numFmtId="0" fontId="4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/>
    </xf>
    <xf numFmtId="164" fontId="2" fillId="5" borderId="5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2" fillId="6" borderId="6" xfId="0" applyFont="1" applyFill="1" applyBorder="1" applyAlignment="1">
      <alignment horizontal="left" vertical="center"/>
    </xf>
    <xf numFmtId="0" fontId="15" fillId="9" borderId="5" xfId="0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horizontal="center" vertical="center"/>
    </xf>
    <xf numFmtId="0" fontId="24" fillId="3" borderId="0" xfId="0" applyFont="1" applyFill="1" applyAlignment="1">
      <alignment horizontal="left" vertical="center"/>
    </xf>
    <xf numFmtId="0" fontId="24" fillId="5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25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/>
    </xf>
    <xf numFmtId="0" fontId="0" fillId="0" borderId="0" xfId="0"/>
    <xf numFmtId="0" fontId="1" fillId="2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6" borderId="6" xfId="0" applyFill="1" applyBorder="1" applyAlignment="1">
      <alignment horizontal="left" vertical="top" wrapText="1"/>
    </xf>
    <xf numFmtId="0" fontId="2" fillId="0" borderId="0" xfId="0" applyFont="1" applyAlignment="1">
      <alignment horizontal="right" vertical="center"/>
    </xf>
    <xf numFmtId="0" fontId="14" fillId="8" borderId="0" xfId="0" applyFont="1" applyFill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left" vertical="center"/>
    </xf>
    <xf numFmtId="0" fontId="27" fillId="6" borderId="6" xfId="1" applyFill="1" applyBorder="1" applyAlignment="1">
      <alignment horizontal="left" vertical="center"/>
    </xf>
    <xf numFmtId="0" fontId="28" fillId="12" borderId="9" xfId="0" applyFont="1" applyFill="1" applyBorder="1" applyAlignment="1">
      <alignment horizontal="center"/>
    </xf>
    <xf numFmtId="22" fontId="0" fillId="0" borderId="0" xfId="0" applyNumberFormat="1"/>
    <xf numFmtId="0" fontId="2" fillId="3" borderId="5" xfId="0" applyFont="1" applyFill="1" applyBorder="1" applyAlignment="1">
      <alignment vertical="center"/>
    </xf>
    <xf numFmtId="0" fontId="0" fillId="0" borderId="7" xfId="0" applyBorder="1" applyAlignment="1"/>
    <xf numFmtId="0" fontId="0" fillId="0" borderId="8" xfId="0" applyBorder="1" applyAlignment="1"/>
    <xf numFmtId="0" fontId="19" fillId="3" borderId="5" xfId="0" applyFont="1" applyFill="1" applyBorder="1" applyAlignment="1">
      <alignment vertical="center"/>
    </xf>
    <xf numFmtId="0" fontId="0" fillId="0" borderId="0" xfId="0" applyAlignment="1"/>
    <xf numFmtId="0" fontId="20" fillId="3" borderId="5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19" fillId="5" borderId="5" xfId="0" applyFont="1" applyFill="1" applyBorder="1" applyAlignment="1">
      <alignment vertical="center"/>
    </xf>
    <xf numFmtId="0" fontId="22" fillId="3" borderId="0" xfId="0" applyFont="1" applyFill="1" applyAlignment="1">
      <alignment vertical="center"/>
    </xf>
    <xf numFmtId="0" fontId="20" fillId="5" borderId="0" xfId="0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4" borderId="5" xfId="0" applyFont="1" applyFill="1" applyBorder="1" applyAlignment="1">
      <alignment vertical="center"/>
    </xf>
    <xf numFmtId="0" fontId="3" fillId="4" borderId="1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3" borderId="11" xfId="0" applyFont="1" applyFill="1" applyBorder="1" applyAlignment="1">
      <alignment vertical="center"/>
    </xf>
    <xf numFmtId="0" fontId="6" fillId="5" borderId="10" xfId="0" applyFont="1" applyFill="1" applyBorder="1" applyAlignment="1">
      <alignment vertical="center"/>
    </xf>
    <xf numFmtId="0" fontId="6" fillId="5" borderId="0" xfId="0" applyFont="1" applyFill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6" fillId="5" borderId="13" xfId="0" applyFont="1" applyFill="1" applyBorder="1" applyAlignment="1">
      <alignment vertical="center"/>
    </xf>
    <xf numFmtId="0" fontId="6" fillId="5" borderId="2" xfId="0" applyFont="1" applyFill="1" applyBorder="1" applyAlignment="1">
      <alignment vertical="center"/>
    </xf>
    <xf numFmtId="0" fontId="6" fillId="5" borderId="14" xfId="0" applyFont="1" applyFill="1" applyBorder="1" applyAlignment="1">
      <alignment vertical="center"/>
    </xf>
    <xf numFmtId="0" fontId="29" fillId="3" borderId="5" xfId="0" applyFont="1" applyFill="1" applyBorder="1" applyAlignment="1">
      <alignment horizontal="center" vertical="center"/>
    </xf>
    <xf numFmtId="0" fontId="30" fillId="13" borderId="9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4A843"/>
  </sheetPr>
  <dimension ref="B1:H54"/>
  <sheetViews>
    <sheetView showGridLines="0" tabSelected="1" topLeftCell="A17" zoomScale="79" workbookViewId="0">
      <selection activeCell="E26" sqref="E26"/>
    </sheetView>
  </sheetViews>
  <sheetFormatPr defaultRowHeight="15" x14ac:dyDescent="0.25"/>
  <cols>
    <col min="1" max="1" width="2" customWidth="1"/>
    <col min="2" max="8" width="16" customWidth="1"/>
    <col min="9" max="9" width="2" customWidth="1"/>
  </cols>
  <sheetData>
    <row r="1" spans="2:8" ht="33.950000000000003" customHeight="1" x14ac:dyDescent="0.25">
      <c r="B1" s="30" t="s">
        <v>0</v>
      </c>
      <c r="C1" s="29"/>
      <c r="D1" s="29"/>
      <c r="E1" s="29"/>
      <c r="F1" s="29"/>
      <c r="G1" s="29"/>
      <c r="H1" s="29"/>
    </row>
    <row r="2" spans="2:8" ht="20.100000000000001" customHeight="1" x14ac:dyDescent="0.25">
      <c r="B2" s="32" t="s">
        <v>1</v>
      </c>
      <c r="C2" s="29"/>
      <c r="D2" s="29"/>
      <c r="E2" s="29"/>
      <c r="F2" s="29"/>
      <c r="G2" s="29"/>
      <c r="H2" s="29"/>
    </row>
    <row r="3" spans="2:8" ht="20.100000000000001" customHeight="1" x14ac:dyDescent="0.25"/>
    <row r="4" spans="2:8" ht="20.100000000000001" customHeight="1" x14ac:dyDescent="0.25">
      <c r="B4" s="31" t="s">
        <v>2</v>
      </c>
      <c r="C4" s="29"/>
      <c r="D4" s="29"/>
      <c r="E4" s="29"/>
      <c r="F4" s="29"/>
      <c r="G4" s="29"/>
      <c r="H4" s="29"/>
    </row>
    <row r="5" spans="2:8" ht="20.100000000000001" customHeight="1" x14ac:dyDescent="0.25"/>
    <row r="6" spans="2:8" ht="20.100000000000001" customHeight="1" x14ac:dyDescent="0.25">
      <c r="B6" s="1" t="s">
        <v>3</v>
      </c>
      <c r="C6" s="1" t="s">
        <v>4</v>
      </c>
      <c r="D6" s="1" t="s">
        <v>5</v>
      </c>
      <c r="E6" s="1" t="s">
        <v>6</v>
      </c>
      <c r="F6" s="1" t="s">
        <v>7</v>
      </c>
      <c r="G6" s="1" t="s">
        <v>8</v>
      </c>
    </row>
    <row r="7" spans="2:8" ht="32.1" customHeight="1" x14ac:dyDescent="0.25">
      <c r="B7" s="2">
        <f>COUNTA(MEMBER_DB!B:B)-1</f>
        <v>13</v>
      </c>
      <c r="C7" s="2">
        <f>COUNTIF(MEMBER_DB!H:H,"Active")</f>
        <v>5</v>
      </c>
      <c r="D7" s="2">
        <f>COUNTIF(MEMBER_DB!H:H,"Pending")</f>
        <v>2</v>
      </c>
      <c r="E7" s="2">
        <f ca="1">COUNTIFS(MEMBER_DB!D:D,"&gt;="&amp;DATE(YEAR(TODAY()),MONTH(TODAY()),1),MEMBER_DB!D:D,"&lt;="&amp;TODAY())</f>
        <v>0</v>
      </c>
      <c r="F7" s="2">
        <f>COUNTA(EMPLOYER_GROUPS!B:B)-1</f>
        <v>8</v>
      </c>
      <c r="G7" s="2">
        <f>COUNTIF(MEMBER_DB!G:G,"Family")</f>
        <v>4</v>
      </c>
    </row>
    <row r="8" spans="2:8" ht="20.100000000000001" customHeight="1" x14ac:dyDescent="0.25">
      <c r="B8" s="1" t="s">
        <v>9</v>
      </c>
      <c r="C8" s="1" t="s">
        <v>10</v>
      </c>
      <c r="D8" s="1" t="s">
        <v>11</v>
      </c>
      <c r="E8" s="1" t="s">
        <v>12</v>
      </c>
      <c r="F8" s="1" t="s">
        <v>13</v>
      </c>
      <c r="G8" s="1" t="s">
        <v>14</v>
      </c>
    </row>
    <row r="9" spans="2:8" ht="20.100000000000001" customHeight="1" x14ac:dyDescent="0.25"/>
    <row r="10" spans="2:8" ht="20.100000000000001" customHeight="1" x14ac:dyDescent="0.25">
      <c r="B10" s="31" t="s">
        <v>15</v>
      </c>
      <c r="C10" s="29"/>
      <c r="D10" s="29"/>
      <c r="E10" s="29"/>
      <c r="F10" s="29"/>
      <c r="G10" s="29"/>
      <c r="H10" s="29"/>
    </row>
    <row r="11" spans="2:8" ht="20.100000000000001" customHeight="1" x14ac:dyDescent="0.25">
      <c r="B11" s="58" t="s">
        <v>16</v>
      </c>
      <c r="C11" s="59"/>
      <c r="D11" s="60"/>
      <c r="E11" s="3" t="s">
        <v>17</v>
      </c>
      <c r="F11" s="3" t="s">
        <v>18</v>
      </c>
      <c r="G11" s="3" t="s">
        <v>19</v>
      </c>
      <c r="H11" s="3" t="s">
        <v>20</v>
      </c>
    </row>
    <row r="12" spans="2:8" ht="20.100000000000001" customHeight="1" x14ac:dyDescent="0.25">
      <c r="B12" s="67" t="s">
        <v>21</v>
      </c>
      <c r="C12" s="68"/>
      <c r="D12" s="69"/>
      <c r="E12" s="4">
        <f>COUNTIF(MEMBER_DB!H:H,"Application Received")</f>
        <v>1</v>
      </c>
      <c r="F12" s="5">
        <f>IF(COUNTA(MEMBER_DB!B:B)-1=0,0,E12/COUNTA(MEMBER_DB!B:B)-1)</f>
        <v>-0.9285714285714286</v>
      </c>
      <c r="G12" s="6">
        <v>4</v>
      </c>
      <c r="H12" s="7" t="s">
        <v>22</v>
      </c>
    </row>
    <row r="13" spans="2:8" ht="20.100000000000001" customHeight="1" x14ac:dyDescent="0.25">
      <c r="B13" s="61" t="s">
        <v>23</v>
      </c>
      <c r="C13" s="62"/>
      <c r="D13" s="63"/>
      <c r="E13" s="8">
        <f>COUNTIF(MEMBER_DB!H:H,"Documents Verified")</f>
        <v>1</v>
      </c>
      <c r="F13" s="9">
        <f>IF(COUNTA(MEMBER_DB!B:B)-1=0,0,E13/COUNTA(MEMBER_DB!B:B)-1)</f>
        <v>-0.9285714285714286</v>
      </c>
      <c r="G13" s="10">
        <v>9</v>
      </c>
      <c r="H13" s="11" t="s">
        <v>22</v>
      </c>
    </row>
    <row r="14" spans="2:8" ht="20.100000000000001" customHeight="1" x14ac:dyDescent="0.25">
      <c r="B14" s="64" t="s">
        <v>24</v>
      </c>
      <c r="C14" s="65"/>
      <c r="D14" s="66"/>
      <c r="E14" s="4">
        <f>COUNTIF(MEMBER_DB!H:H,"Medical Assessment")</f>
        <v>1</v>
      </c>
      <c r="F14" s="5">
        <f>IF(COUNTA(MEMBER_DB!B:B)-1=0,0,E14/COUNTA(MEMBER_DB!B:B)-1)</f>
        <v>-0.9285714285714286</v>
      </c>
      <c r="G14" s="6">
        <v>5</v>
      </c>
      <c r="H14" s="7" t="s">
        <v>22</v>
      </c>
    </row>
    <row r="15" spans="2:8" ht="20.100000000000001" customHeight="1" x14ac:dyDescent="0.25">
      <c r="B15" s="61" t="s">
        <v>25</v>
      </c>
      <c r="C15" s="62"/>
      <c r="D15" s="63"/>
      <c r="E15" s="8">
        <f>COUNTIF(MEMBER_DB!H:H,"Underwriting Review")</f>
        <v>1</v>
      </c>
      <c r="F15" s="9">
        <f>IF(COUNTA(MEMBER_DB!B:B)-1=0,0,E15/COUNTA(MEMBER_DB!B:B)-1)</f>
        <v>-0.9285714285714286</v>
      </c>
      <c r="G15" s="10">
        <v>4</v>
      </c>
      <c r="H15" s="11" t="s">
        <v>22</v>
      </c>
    </row>
    <row r="16" spans="2:8" ht="20.100000000000001" customHeight="1" x14ac:dyDescent="0.25">
      <c r="B16" s="64" t="s">
        <v>26</v>
      </c>
      <c r="C16" s="65"/>
      <c r="D16" s="66"/>
      <c r="E16" s="4">
        <f>COUNTIF(MEMBER_DB!H:H,"Policy Issued")</f>
        <v>1</v>
      </c>
      <c r="F16" s="5">
        <f>IF(COUNTA(MEMBER_DB!B:B)-1=0,0,E16/COUNTA(MEMBER_DB!B:B)-1)</f>
        <v>-0.9285714285714286</v>
      </c>
      <c r="G16" s="6">
        <v>4</v>
      </c>
      <c r="H16" s="7" t="s">
        <v>22</v>
      </c>
    </row>
    <row r="17" spans="2:8" ht="20.100000000000001" customHeight="1" x14ac:dyDescent="0.25">
      <c r="B17" s="61" t="s">
        <v>27</v>
      </c>
      <c r="C17" s="62"/>
      <c r="D17" s="63"/>
      <c r="E17" s="8">
        <f>COUNTIF(MEMBER_DB!H:H,"Active")</f>
        <v>5</v>
      </c>
      <c r="F17" s="9">
        <f>IF(COUNTA(MEMBER_DB!B:B)-1=0,0,E17/COUNTA(MEMBER_DB!B:B)-1)</f>
        <v>-0.64285714285714279</v>
      </c>
      <c r="G17" s="10">
        <v>12</v>
      </c>
      <c r="H17" s="12" t="s">
        <v>22</v>
      </c>
    </row>
    <row r="18" spans="2:8" ht="20.100000000000001" customHeight="1" x14ac:dyDescent="0.25">
      <c r="B18" s="64" t="s">
        <v>28</v>
      </c>
      <c r="C18" s="65"/>
      <c r="D18" s="66"/>
      <c r="E18" s="4">
        <f>COUNTIF(MEMBER_DB!H:H,"Pending")</f>
        <v>2</v>
      </c>
      <c r="F18" s="5">
        <f>IF(COUNTA(MEMBER_DB!B:B)-1=0,0,E18/COUNTA(MEMBER_DB!B:B)-1)</f>
        <v>-0.85714285714285721</v>
      </c>
      <c r="G18" s="6">
        <v>3</v>
      </c>
      <c r="H18" s="13" t="s">
        <v>22</v>
      </c>
    </row>
    <row r="19" spans="2:8" ht="20.100000000000001" customHeight="1" x14ac:dyDescent="0.25">
      <c r="B19" s="61" t="s">
        <v>29</v>
      </c>
      <c r="C19" s="62"/>
      <c r="D19" s="63"/>
      <c r="E19" s="8">
        <f>COUNTIF(MEMBER_DB!H:H,"Suspended")</f>
        <v>1</v>
      </c>
      <c r="F19" s="9">
        <f>IF(COUNTA(MEMBER_DB!B:B)-1=0,0,E19/COUNTA(MEMBER_DB!B:B)-1)</f>
        <v>-0.9285714285714286</v>
      </c>
      <c r="G19" s="10">
        <v>6</v>
      </c>
      <c r="H19" s="14" t="s">
        <v>22</v>
      </c>
    </row>
    <row r="20" spans="2:8" ht="20.100000000000001" customHeight="1" x14ac:dyDescent="0.25"/>
    <row r="21" spans="2:8" ht="20.100000000000001" customHeight="1" x14ac:dyDescent="0.25">
      <c r="B21" s="31" t="s">
        <v>30</v>
      </c>
      <c r="C21" s="29"/>
      <c r="D21" s="29"/>
      <c r="E21" s="29"/>
      <c r="F21" s="29"/>
      <c r="G21" s="29"/>
      <c r="H21" s="29"/>
    </row>
    <row r="22" spans="2:8" ht="20.100000000000001" customHeight="1" x14ac:dyDescent="0.25">
      <c r="B22" s="3" t="s">
        <v>31</v>
      </c>
      <c r="C22" s="3" t="s">
        <v>32</v>
      </c>
      <c r="D22" s="3" t="s">
        <v>33</v>
      </c>
      <c r="E22" s="3" t="s">
        <v>34</v>
      </c>
      <c r="F22" s="3" t="s">
        <v>35</v>
      </c>
      <c r="G22" s="3" t="s">
        <v>36</v>
      </c>
      <c r="H22" s="3" t="s">
        <v>37</v>
      </c>
    </row>
    <row r="23" spans="2:8" ht="20.100000000000001" customHeight="1" x14ac:dyDescent="0.25">
      <c r="B23" s="15"/>
      <c r="C23" s="15"/>
      <c r="D23" s="15"/>
      <c r="E23" s="15"/>
      <c r="F23" s="15"/>
      <c r="G23" s="15"/>
      <c r="H23" s="15"/>
    </row>
    <row r="24" spans="2:8" ht="20.100000000000001" customHeight="1" x14ac:dyDescent="0.25">
      <c r="B24" s="16"/>
      <c r="C24" s="16"/>
      <c r="D24" s="16"/>
      <c r="E24" s="16"/>
      <c r="F24" s="16"/>
      <c r="G24" s="16"/>
      <c r="H24" s="16"/>
    </row>
    <row r="25" spans="2:8" ht="20.100000000000001" customHeight="1" x14ac:dyDescent="0.25">
      <c r="B25" s="15"/>
      <c r="C25" s="15"/>
      <c r="D25" s="15"/>
      <c r="E25" s="15"/>
      <c r="F25" s="15"/>
      <c r="G25" s="15"/>
      <c r="H25" s="15"/>
    </row>
    <row r="26" spans="2:8" ht="20.100000000000001" customHeight="1" x14ac:dyDescent="0.25">
      <c r="B26" s="16"/>
      <c r="C26" s="16"/>
      <c r="D26" s="16"/>
      <c r="E26" s="16"/>
      <c r="F26" s="16"/>
      <c r="G26" s="16"/>
      <c r="H26" s="16"/>
    </row>
    <row r="27" spans="2:8" ht="20.100000000000001" customHeight="1" x14ac:dyDescent="0.25">
      <c r="B27" s="15"/>
      <c r="C27" s="15"/>
      <c r="D27" s="15"/>
      <c r="E27" s="15"/>
      <c r="F27" s="15"/>
      <c r="G27" s="15"/>
      <c r="H27" s="15"/>
    </row>
    <row r="28" spans="2:8" ht="20.100000000000001" customHeight="1" x14ac:dyDescent="0.25"/>
    <row r="29" spans="2:8" ht="20.100000000000001" customHeight="1" x14ac:dyDescent="0.25"/>
    <row r="30" spans="2:8" ht="20.100000000000001" customHeight="1" x14ac:dyDescent="0.25"/>
    <row r="31" spans="2:8" ht="20.100000000000001" customHeight="1" x14ac:dyDescent="0.25"/>
    <row r="32" spans="2:8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</sheetData>
  <mergeCells count="6">
    <mergeCell ref="B21:H21"/>
    <mergeCell ref="B2:H2"/>
    <mergeCell ref="B10:H10"/>
    <mergeCell ref="B11:D11"/>
    <mergeCell ref="B1:H1"/>
    <mergeCell ref="B4:H4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A2D5A"/>
  </sheetPr>
  <dimension ref="B1:F49"/>
  <sheetViews>
    <sheetView showGridLines="0" topLeftCell="A27" workbookViewId="0">
      <selection activeCell="C35" sqref="C35:F37"/>
    </sheetView>
  </sheetViews>
  <sheetFormatPr defaultRowHeight="15" x14ac:dyDescent="0.25"/>
  <cols>
    <col min="1" max="1" width="2" customWidth="1"/>
    <col min="2" max="2" width="22" customWidth="1"/>
    <col min="3" max="3" width="29" customWidth="1"/>
    <col min="4" max="4" width="4" customWidth="1"/>
    <col min="5" max="5" width="22" customWidth="1"/>
    <col min="6" max="6" width="26" customWidth="1"/>
    <col min="7" max="7" width="2" customWidth="1"/>
  </cols>
  <sheetData>
    <row r="1" spans="2:6" ht="33.950000000000003" customHeight="1" x14ac:dyDescent="0.25">
      <c r="B1" s="30" t="s">
        <v>38</v>
      </c>
      <c r="C1" s="29"/>
      <c r="D1" s="29"/>
      <c r="E1" s="29"/>
      <c r="F1" s="29"/>
    </row>
    <row r="2" spans="2:6" ht="21" customHeight="1" x14ac:dyDescent="0.25">
      <c r="B2" s="32" t="s">
        <v>39</v>
      </c>
      <c r="C2" s="29"/>
      <c r="D2" s="29"/>
      <c r="E2" s="29"/>
      <c r="F2" s="29"/>
    </row>
    <row r="3" spans="2:6" ht="21" customHeight="1" x14ac:dyDescent="0.25">
      <c r="B3" s="34" t="s">
        <v>40</v>
      </c>
      <c r="C3" s="29"/>
      <c r="E3" s="37" t="str">
        <f>IF(COUNTA(MEMBER_DB!B:B)=1,"ADH-2025-0001","ADH-2025-"&amp;TEXT(COUNTA(MEMBER_DB!B:B),"0000"))</f>
        <v>ADH-2025-0014</v>
      </c>
      <c r="F3" s="29"/>
    </row>
    <row r="4" spans="2:6" ht="21" customHeight="1" x14ac:dyDescent="0.25"/>
    <row r="5" spans="2:6" ht="21" customHeight="1" x14ac:dyDescent="0.25">
      <c r="B5" s="31" t="s">
        <v>41</v>
      </c>
      <c r="C5" s="29"/>
      <c r="D5" s="29"/>
      <c r="E5" s="29"/>
      <c r="F5" s="29"/>
    </row>
    <row r="6" spans="2:6" ht="21" customHeight="1" x14ac:dyDescent="0.25">
      <c r="B6" s="17" t="s">
        <v>42</v>
      </c>
      <c r="C6" s="18"/>
      <c r="E6" s="17" t="s">
        <v>43</v>
      </c>
      <c r="F6" s="18"/>
    </row>
    <row r="7" spans="2:6" ht="21" customHeight="1" x14ac:dyDescent="0.25"/>
    <row r="8" spans="2:6" ht="21" customHeight="1" x14ac:dyDescent="0.25">
      <c r="B8" s="17" t="s">
        <v>44</v>
      </c>
      <c r="C8" s="18"/>
      <c r="E8" s="17" t="s">
        <v>45</v>
      </c>
      <c r="F8" s="18"/>
    </row>
    <row r="9" spans="2:6" ht="21" customHeight="1" x14ac:dyDescent="0.25"/>
    <row r="10" spans="2:6" ht="21" customHeight="1" x14ac:dyDescent="0.25">
      <c r="B10" s="17" t="s">
        <v>46</v>
      </c>
      <c r="C10" s="18"/>
      <c r="E10" s="17" t="s">
        <v>47</v>
      </c>
      <c r="F10" s="18"/>
    </row>
    <row r="11" spans="2:6" ht="21" customHeight="1" x14ac:dyDescent="0.25"/>
    <row r="12" spans="2:6" ht="21" customHeight="1" x14ac:dyDescent="0.25">
      <c r="B12" s="17" t="s">
        <v>48</v>
      </c>
      <c r="C12" s="18"/>
      <c r="E12" s="17" t="s">
        <v>49</v>
      </c>
      <c r="F12" s="18"/>
    </row>
    <row r="13" spans="2:6" ht="21" customHeight="1" x14ac:dyDescent="0.25"/>
    <row r="14" spans="2:6" ht="21" customHeight="1" x14ac:dyDescent="0.25">
      <c r="B14" s="17" t="s">
        <v>50</v>
      </c>
      <c r="C14" s="18"/>
      <c r="E14" s="17" t="s">
        <v>51</v>
      </c>
      <c r="F14" s="40"/>
    </row>
    <row r="15" spans="2:6" ht="21" customHeight="1" x14ac:dyDescent="0.25"/>
    <row r="16" spans="2:6" ht="21" customHeight="1" x14ac:dyDescent="0.25">
      <c r="B16" s="31" t="s">
        <v>52</v>
      </c>
      <c r="C16" s="29"/>
      <c r="D16" s="29"/>
      <c r="E16" s="29"/>
      <c r="F16" s="29"/>
    </row>
    <row r="17" spans="2:6" ht="21" customHeight="1" x14ac:dyDescent="0.25">
      <c r="B17" s="17" t="s">
        <v>53</v>
      </c>
      <c r="C17" s="18"/>
      <c r="E17" s="17" t="s">
        <v>54</v>
      </c>
      <c r="F17" s="18"/>
    </row>
    <row r="18" spans="2:6" ht="21" customHeight="1" x14ac:dyDescent="0.25"/>
    <row r="19" spans="2:6" ht="21" customHeight="1" x14ac:dyDescent="0.25">
      <c r="B19" s="17" t="s">
        <v>55</v>
      </c>
      <c r="C19" s="18"/>
      <c r="E19" s="17" t="s">
        <v>56</v>
      </c>
      <c r="F19" s="18"/>
    </row>
    <row r="20" spans="2:6" ht="21" customHeight="1" x14ac:dyDescent="0.25"/>
    <row r="21" spans="2:6" ht="21" customHeight="1" x14ac:dyDescent="0.25">
      <c r="B21" s="17" t="s">
        <v>57</v>
      </c>
      <c r="C21" s="18"/>
      <c r="E21" s="17" t="s">
        <v>58</v>
      </c>
      <c r="F21" s="18"/>
    </row>
    <row r="22" spans="2:6" ht="21" customHeight="1" x14ac:dyDescent="0.25"/>
    <row r="23" spans="2:6" ht="21" customHeight="1" x14ac:dyDescent="0.25">
      <c r="B23" s="31" t="s">
        <v>59</v>
      </c>
      <c r="C23" s="29"/>
      <c r="D23" s="29"/>
      <c r="E23" s="29"/>
      <c r="F23" s="29"/>
    </row>
    <row r="24" spans="2:6" ht="21" customHeight="1" x14ac:dyDescent="0.25">
      <c r="B24" s="17" t="s">
        <v>60</v>
      </c>
      <c r="C24" s="18"/>
      <c r="E24" s="17" t="s">
        <v>61</v>
      </c>
      <c r="F24" s="18"/>
    </row>
    <row r="25" spans="2:6" ht="21" customHeight="1" x14ac:dyDescent="0.25"/>
    <row r="26" spans="2:6" ht="21" customHeight="1" x14ac:dyDescent="0.25">
      <c r="B26" s="17" t="s">
        <v>62</v>
      </c>
      <c r="C26" s="18"/>
      <c r="E26" s="17" t="s">
        <v>63</v>
      </c>
      <c r="F26" s="18"/>
    </row>
    <row r="27" spans="2:6" ht="21" customHeight="1" x14ac:dyDescent="0.25"/>
    <row r="28" spans="2:6" ht="21" customHeight="1" x14ac:dyDescent="0.25">
      <c r="B28" s="17" t="s">
        <v>64</v>
      </c>
      <c r="C28" s="18"/>
      <c r="E28" s="17" t="s">
        <v>65</v>
      </c>
      <c r="F28" s="18"/>
    </row>
    <row r="29" spans="2:6" ht="21" customHeight="1" x14ac:dyDescent="0.25"/>
    <row r="30" spans="2:6" ht="21" customHeight="1" x14ac:dyDescent="0.25">
      <c r="B30" s="31" t="s">
        <v>66</v>
      </c>
      <c r="C30" s="29"/>
      <c r="D30" s="29"/>
      <c r="E30" s="29"/>
      <c r="F30" s="29"/>
    </row>
    <row r="31" spans="2:6" ht="21" customHeight="1" x14ac:dyDescent="0.25">
      <c r="B31" s="17" t="s">
        <v>67</v>
      </c>
      <c r="C31" s="18"/>
      <c r="E31" s="17" t="s">
        <v>68</v>
      </c>
      <c r="F31" s="18"/>
    </row>
    <row r="32" spans="2:6" ht="21" customHeight="1" x14ac:dyDescent="0.25"/>
    <row r="33" spans="2:6" ht="21" customHeight="1" x14ac:dyDescent="0.25">
      <c r="B33" s="17" t="s">
        <v>69</v>
      </c>
      <c r="C33" s="18"/>
      <c r="E33" s="17" t="s">
        <v>70</v>
      </c>
      <c r="F33" s="18"/>
    </row>
    <row r="34" spans="2:6" ht="21" customHeight="1" x14ac:dyDescent="0.25"/>
    <row r="35" spans="2:6" ht="21" customHeight="1" x14ac:dyDescent="0.25">
      <c r="B35" s="34" t="s">
        <v>71</v>
      </c>
      <c r="C35" s="33"/>
      <c r="D35" s="29"/>
      <c r="E35" s="29"/>
      <c r="F35" s="29"/>
    </row>
    <row r="36" spans="2:6" ht="21" customHeight="1" x14ac:dyDescent="0.25">
      <c r="B36" s="29"/>
      <c r="C36" s="29"/>
      <c r="D36" s="29"/>
      <c r="E36" s="29"/>
      <c r="F36" s="29"/>
    </row>
    <row r="37" spans="2:6" ht="21" customHeight="1" x14ac:dyDescent="0.25">
      <c r="B37" s="29"/>
      <c r="C37" s="29"/>
      <c r="D37" s="29"/>
      <c r="E37" s="29"/>
      <c r="F37" s="29"/>
    </row>
    <row r="38" spans="2:6" ht="21" customHeight="1" x14ac:dyDescent="0.25"/>
    <row r="39" spans="2:6" ht="26.1" customHeight="1" x14ac:dyDescent="0.25">
      <c r="C39" s="36" t="s">
        <v>72</v>
      </c>
      <c r="D39" s="29"/>
      <c r="E39" s="35" t="s">
        <v>73</v>
      </c>
      <c r="F39" s="29"/>
    </row>
    <row r="40" spans="2:6" ht="21" customHeight="1" x14ac:dyDescent="0.25"/>
    <row r="41" spans="2:6" ht="21" customHeight="1" x14ac:dyDescent="0.25"/>
    <row r="42" spans="2:6" ht="21" customHeight="1" x14ac:dyDescent="0.25"/>
    <row r="43" spans="2:6" ht="21" customHeight="1" x14ac:dyDescent="0.25"/>
    <row r="44" spans="2:6" ht="21" customHeight="1" x14ac:dyDescent="0.25"/>
    <row r="45" spans="2:6" ht="21" customHeight="1" x14ac:dyDescent="0.25"/>
    <row r="46" spans="2:6" ht="21" customHeight="1" x14ac:dyDescent="0.25"/>
    <row r="47" spans="2:6" ht="21" customHeight="1" x14ac:dyDescent="0.25"/>
    <row r="48" spans="2:6" ht="21" customHeight="1" x14ac:dyDescent="0.25"/>
    <row r="49" ht="21" customHeight="1" x14ac:dyDescent="0.25"/>
  </sheetData>
  <mergeCells count="12">
    <mergeCell ref="B1:F1"/>
    <mergeCell ref="E39:F39"/>
    <mergeCell ref="C39:D39"/>
    <mergeCell ref="E3:F3"/>
    <mergeCell ref="B30:F30"/>
    <mergeCell ref="C35:F37"/>
    <mergeCell ref="B35:B37"/>
    <mergeCell ref="B2:F2"/>
    <mergeCell ref="B16:F16"/>
    <mergeCell ref="B3:C3"/>
    <mergeCell ref="B5:F5"/>
    <mergeCell ref="B23:F23"/>
  </mergeCells>
  <dataValidations count="6">
    <dataValidation type="list" allowBlank="1" sqref="F10" xr:uid="{00000000-0002-0000-0100-000000000000}">
      <formula1>"Male,Female,Other,Prefer not to say"</formula1>
    </dataValidation>
    <dataValidation type="list" allowBlank="1" sqref="F12" xr:uid="{00000000-0002-0000-0100-000001000000}">
      <formula1>"Single,Married,Divorced,Widowed"</formula1>
    </dataValidation>
    <dataValidation type="list" allowBlank="1" sqref="C24" xr:uid="{00000000-0002-0000-0100-000002000000}">
      <formula1>"Individual,Family,Pensioner,Group"</formula1>
    </dataValidation>
    <dataValidation type="list" allowBlank="1" sqref="C26" xr:uid="{00000000-0002-0000-0100-000003000000}">
      <formula1>"Option A (Basic),Option B (Standard),Option C (Comprehensive),Option D (Premium)"</formula1>
    </dataValidation>
    <dataValidation type="list" allowBlank="1" sqref="C28" xr:uid="{00000000-0002-0000-0100-000004000000}">
      <formula1>"P1 - Principal Only,P2 - Principal + Spouse,P3 - Family (up to 3),P4 - Family (4+)"</formula1>
    </dataValidation>
    <dataValidation type="list" allowBlank="1" sqref="C21" xr:uid="{00000000-0002-0000-0100-000005000000}">
      <formula1>"Botswana,South Africa,Zimbabwe,Zambia,Namibia,Other"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E8A4C"/>
  </sheetPr>
  <dimension ref="A1:P14"/>
  <sheetViews>
    <sheetView showGridLines="0" workbookViewId="0">
      <pane ySplit="1" topLeftCell="A2" activePane="bottomLeft" state="frozen"/>
      <selection pane="bottomLeft" activeCell="G11" sqref="G11"/>
    </sheetView>
  </sheetViews>
  <sheetFormatPr defaultRowHeight="15" x14ac:dyDescent="0.25"/>
  <cols>
    <col min="1" max="1" width="16" customWidth="1"/>
    <col min="2" max="2" width="24" customWidth="1"/>
    <col min="3" max="3" width="16" customWidth="1"/>
    <col min="4" max="5" width="14" customWidth="1"/>
    <col min="6" max="6" width="22" customWidth="1"/>
    <col min="7" max="7" width="14" customWidth="1"/>
    <col min="8" max="8" width="20" customWidth="1"/>
    <col min="9" max="9" width="24" customWidth="1"/>
    <col min="10" max="10" width="18" customWidth="1"/>
    <col min="11" max="11" width="16" customWidth="1"/>
    <col min="12" max="12" width="26" customWidth="1"/>
    <col min="13" max="13" width="14" customWidth="1"/>
    <col min="14" max="14" width="22" customWidth="1"/>
    <col min="15" max="15" width="12" customWidth="1"/>
    <col min="16" max="16" width="28" customWidth="1"/>
  </cols>
  <sheetData>
    <row r="1" spans="1:16" ht="26.1" customHeight="1" x14ac:dyDescent="0.25">
      <c r="A1" s="3" t="s">
        <v>31</v>
      </c>
      <c r="B1" s="3" t="s">
        <v>32</v>
      </c>
      <c r="C1" s="3" t="s">
        <v>74</v>
      </c>
      <c r="D1" s="3" t="s">
        <v>35</v>
      </c>
      <c r="E1" s="3" t="s">
        <v>75</v>
      </c>
      <c r="F1" s="3" t="s">
        <v>61</v>
      </c>
      <c r="G1" s="3" t="s">
        <v>76</v>
      </c>
      <c r="H1" s="3" t="s">
        <v>36</v>
      </c>
      <c r="I1" s="3" t="s">
        <v>77</v>
      </c>
      <c r="J1" s="3" t="s">
        <v>37</v>
      </c>
      <c r="K1" s="3" t="s">
        <v>78</v>
      </c>
      <c r="L1" s="3" t="s">
        <v>79</v>
      </c>
      <c r="M1" s="3" t="s">
        <v>80</v>
      </c>
      <c r="N1" s="3" t="s">
        <v>81</v>
      </c>
      <c r="O1" s="3" t="s">
        <v>82</v>
      </c>
      <c r="P1" s="3" t="s">
        <v>83</v>
      </c>
    </row>
    <row r="2" spans="1:16" x14ac:dyDescent="0.25">
      <c r="A2" s="16" t="s">
        <v>84</v>
      </c>
      <c r="B2" s="16" t="s">
        <v>85</v>
      </c>
      <c r="C2" s="16" t="s">
        <v>86</v>
      </c>
      <c r="D2" s="16" t="s">
        <v>87</v>
      </c>
      <c r="E2" s="16" t="s">
        <v>88</v>
      </c>
      <c r="F2" s="16" t="s">
        <v>89</v>
      </c>
      <c r="G2" s="16" t="s">
        <v>90</v>
      </c>
      <c r="H2" s="19" t="s">
        <v>91</v>
      </c>
      <c r="I2" s="16" t="s">
        <v>92</v>
      </c>
      <c r="J2" s="16" t="s">
        <v>93</v>
      </c>
      <c r="K2" s="16" t="s">
        <v>94</v>
      </c>
      <c r="L2" s="16" t="s">
        <v>95</v>
      </c>
      <c r="M2" s="16" t="s">
        <v>96</v>
      </c>
      <c r="N2" s="16" t="s">
        <v>97</v>
      </c>
      <c r="O2" s="16">
        <v>1</v>
      </c>
      <c r="P2" s="16"/>
    </row>
    <row r="3" spans="1:16" x14ac:dyDescent="0.25">
      <c r="A3" s="15" t="s">
        <v>98</v>
      </c>
      <c r="B3" s="15" t="s">
        <v>99</v>
      </c>
      <c r="C3" s="15" t="s">
        <v>100</v>
      </c>
      <c r="D3" s="15" t="s">
        <v>101</v>
      </c>
      <c r="E3" s="15" t="s">
        <v>102</v>
      </c>
      <c r="F3" s="15" t="s">
        <v>103</v>
      </c>
      <c r="G3" s="15" t="s">
        <v>104</v>
      </c>
      <c r="H3" s="19" t="s">
        <v>91</v>
      </c>
      <c r="I3" s="15" t="s">
        <v>105</v>
      </c>
      <c r="J3" s="15" t="s">
        <v>93</v>
      </c>
      <c r="K3" s="15" t="s">
        <v>106</v>
      </c>
      <c r="L3" s="15" t="s">
        <v>107</v>
      </c>
      <c r="M3" s="15" t="s">
        <v>96</v>
      </c>
      <c r="N3" s="15" t="s">
        <v>108</v>
      </c>
      <c r="O3" s="15">
        <v>2</v>
      </c>
      <c r="P3" s="15"/>
    </row>
    <row r="4" spans="1:16" x14ac:dyDescent="0.25">
      <c r="A4" s="16" t="s">
        <v>109</v>
      </c>
      <c r="B4" s="16" t="s">
        <v>110</v>
      </c>
      <c r="C4" s="16" t="s">
        <v>111</v>
      </c>
      <c r="D4" s="16" t="s">
        <v>112</v>
      </c>
      <c r="E4" s="16" t="s">
        <v>113</v>
      </c>
      <c r="F4" s="16" t="s">
        <v>114</v>
      </c>
      <c r="G4" s="16" t="s">
        <v>104</v>
      </c>
      <c r="H4" s="19" t="s">
        <v>91</v>
      </c>
      <c r="I4" s="16" t="s">
        <v>115</v>
      </c>
      <c r="J4" s="16" t="s">
        <v>93</v>
      </c>
      <c r="K4" s="16" t="s">
        <v>116</v>
      </c>
      <c r="L4" s="16" t="s">
        <v>117</v>
      </c>
      <c r="M4" s="16" t="s">
        <v>118</v>
      </c>
      <c r="N4" s="16" t="s">
        <v>119</v>
      </c>
      <c r="O4" s="16">
        <v>3</v>
      </c>
      <c r="P4" s="16"/>
    </row>
    <row r="5" spans="1:16" x14ac:dyDescent="0.25">
      <c r="A5" s="15" t="s">
        <v>120</v>
      </c>
      <c r="B5" s="15" t="s">
        <v>121</v>
      </c>
      <c r="C5" s="15" t="s">
        <v>122</v>
      </c>
      <c r="D5" s="15" t="s">
        <v>123</v>
      </c>
      <c r="E5" s="15" t="s">
        <v>124</v>
      </c>
      <c r="F5" s="15" t="s">
        <v>125</v>
      </c>
      <c r="G5" s="15" t="s">
        <v>90</v>
      </c>
      <c r="H5" s="19" t="s">
        <v>91</v>
      </c>
      <c r="I5" s="15" t="s">
        <v>126</v>
      </c>
      <c r="J5" s="15" t="s">
        <v>93</v>
      </c>
      <c r="K5" s="15" t="s">
        <v>127</v>
      </c>
      <c r="L5" s="15" t="s">
        <v>128</v>
      </c>
      <c r="M5" s="15" t="s">
        <v>129</v>
      </c>
      <c r="N5" s="15" t="s">
        <v>130</v>
      </c>
      <c r="O5" s="15">
        <v>0</v>
      </c>
      <c r="P5" s="15"/>
    </row>
    <row r="6" spans="1:16" x14ac:dyDescent="0.25">
      <c r="A6" s="16" t="s">
        <v>131</v>
      </c>
      <c r="B6" s="16" t="s">
        <v>132</v>
      </c>
      <c r="C6" s="16" t="s">
        <v>133</v>
      </c>
      <c r="D6" s="16" t="s">
        <v>134</v>
      </c>
      <c r="E6" s="16" t="s">
        <v>135</v>
      </c>
      <c r="F6" s="16" t="s">
        <v>136</v>
      </c>
      <c r="G6" s="16" t="s">
        <v>137</v>
      </c>
      <c r="H6" s="20" t="s">
        <v>138</v>
      </c>
      <c r="I6" s="16" t="s">
        <v>92</v>
      </c>
      <c r="J6" s="16" t="s">
        <v>93</v>
      </c>
      <c r="K6" s="16" t="s">
        <v>139</v>
      </c>
      <c r="L6" s="16" t="s">
        <v>140</v>
      </c>
      <c r="M6" s="16" t="s">
        <v>96</v>
      </c>
      <c r="N6" s="16" t="s">
        <v>108</v>
      </c>
      <c r="O6" s="16">
        <v>2</v>
      </c>
      <c r="P6" s="16"/>
    </row>
    <row r="7" spans="1:16" x14ac:dyDescent="0.25">
      <c r="A7" s="15" t="s">
        <v>141</v>
      </c>
      <c r="B7" s="15" t="s">
        <v>142</v>
      </c>
      <c r="C7" s="15" t="s">
        <v>143</v>
      </c>
      <c r="D7" s="15" t="s">
        <v>144</v>
      </c>
      <c r="E7" s="15" t="s">
        <v>145</v>
      </c>
      <c r="F7" s="15" t="s">
        <v>89</v>
      </c>
      <c r="G7" s="15" t="s">
        <v>137</v>
      </c>
      <c r="H7" s="20" t="s">
        <v>138</v>
      </c>
      <c r="I7" s="15" t="s">
        <v>105</v>
      </c>
      <c r="J7" s="15" t="s">
        <v>93</v>
      </c>
      <c r="K7" s="15" t="s">
        <v>146</v>
      </c>
      <c r="L7" s="15" t="s">
        <v>147</v>
      </c>
      <c r="M7" s="15" t="s">
        <v>96</v>
      </c>
      <c r="N7" s="15" t="s">
        <v>97</v>
      </c>
      <c r="O7" s="15">
        <v>1</v>
      </c>
      <c r="P7" s="15"/>
    </row>
    <row r="8" spans="1:16" x14ac:dyDescent="0.25">
      <c r="A8" s="16" t="s">
        <v>148</v>
      </c>
      <c r="B8" s="16" t="s">
        <v>149</v>
      </c>
      <c r="C8" s="16" t="s">
        <v>150</v>
      </c>
      <c r="D8" s="16" t="s">
        <v>151</v>
      </c>
      <c r="E8" s="16" t="s">
        <v>152</v>
      </c>
      <c r="F8" s="16" t="s">
        <v>153</v>
      </c>
      <c r="G8" s="16" t="s">
        <v>104</v>
      </c>
      <c r="H8" s="21" t="s">
        <v>154</v>
      </c>
      <c r="I8" s="16" t="s">
        <v>92</v>
      </c>
      <c r="J8" s="16" t="s">
        <v>93</v>
      </c>
      <c r="K8" s="16" t="s">
        <v>155</v>
      </c>
      <c r="L8" s="16" t="s">
        <v>156</v>
      </c>
      <c r="M8" s="16" t="s">
        <v>96</v>
      </c>
      <c r="N8" s="16" t="s">
        <v>97</v>
      </c>
      <c r="O8" s="16">
        <v>1</v>
      </c>
      <c r="P8" s="16"/>
    </row>
    <row r="9" spans="1:16" x14ac:dyDescent="0.25">
      <c r="A9" s="15" t="s">
        <v>157</v>
      </c>
      <c r="B9" s="15" t="s">
        <v>158</v>
      </c>
      <c r="C9" s="15" t="s">
        <v>159</v>
      </c>
      <c r="D9" s="15" t="s">
        <v>160</v>
      </c>
      <c r="E9" s="15" t="s">
        <v>161</v>
      </c>
      <c r="F9" s="15" t="s">
        <v>162</v>
      </c>
      <c r="G9" s="15" t="s">
        <v>163</v>
      </c>
      <c r="H9" s="21" t="s">
        <v>164</v>
      </c>
      <c r="I9" s="15" t="s">
        <v>126</v>
      </c>
      <c r="J9" s="15" t="s">
        <v>93</v>
      </c>
      <c r="K9" s="15" t="s">
        <v>165</v>
      </c>
      <c r="L9" s="15" t="s">
        <v>166</v>
      </c>
      <c r="M9" s="15" t="s">
        <v>167</v>
      </c>
      <c r="N9" s="15" t="s">
        <v>130</v>
      </c>
      <c r="O9" s="15">
        <v>0</v>
      </c>
      <c r="P9" s="15"/>
    </row>
    <row r="10" spans="1:16" x14ac:dyDescent="0.25">
      <c r="A10" s="16" t="s">
        <v>168</v>
      </c>
      <c r="B10" s="16" t="s">
        <v>169</v>
      </c>
      <c r="C10" s="16" t="s">
        <v>170</v>
      </c>
      <c r="D10" s="16" t="s">
        <v>171</v>
      </c>
      <c r="E10" s="16" t="s">
        <v>172</v>
      </c>
      <c r="F10" s="16" t="s">
        <v>173</v>
      </c>
      <c r="G10" s="16" t="s">
        <v>90</v>
      </c>
      <c r="H10" s="21" t="s">
        <v>174</v>
      </c>
      <c r="I10" s="16" t="s">
        <v>105</v>
      </c>
      <c r="J10" s="16" t="s">
        <v>93</v>
      </c>
      <c r="K10" s="16" t="s">
        <v>175</v>
      </c>
      <c r="L10" s="16" t="s">
        <v>176</v>
      </c>
      <c r="M10" s="16" t="s">
        <v>177</v>
      </c>
      <c r="N10" s="16" t="s">
        <v>130</v>
      </c>
      <c r="O10" s="16">
        <v>0</v>
      </c>
      <c r="P10" s="16"/>
    </row>
    <row r="11" spans="1:16" x14ac:dyDescent="0.25">
      <c r="A11" s="15" t="s">
        <v>178</v>
      </c>
      <c r="B11" s="15" t="s">
        <v>179</v>
      </c>
      <c r="C11" s="15" t="s">
        <v>180</v>
      </c>
      <c r="D11" s="15" t="s">
        <v>181</v>
      </c>
      <c r="E11" s="15" t="s">
        <v>182</v>
      </c>
      <c r="F11" s="15" t="s">
        <v>183</v>
      </c>
      <c r="G11" s="15" t="s">
        <v>104</v>
      </c>
      <c r="H11" s="21" t="s">
        <v>184</v>
      </c>
      <c r="I11" s="15" t="s">
        <v>115</v>
      </c>
      <c r="J11" s="15" t="s">
        <v>93</v>
      </c>
      <c r="K11" s="15" t="s">
        <v>185</v>
      </c>
      <c r="L11" s="15" t="s">
        <v>186</v>
      </c>
      <c r="M11" s="15" t="s">
        <v>96</v>
      </c>
      <c r="N11" s="15" t="s">
        <v>108</v>
      </c>
      <c r="O11" s="15">
        <v>2</v>
      </c>
      <c r="P11" s="15"/>
    </row>
    <row r="12" spans="1:16" x14ac:dyDescent="0.25">
      <c r="A12" s="16" t="s">
        <v>187</v>
      </c>
      <c r="B12" s="16" t="s">
        <v>188</v>
      </c>
      <c r="C12" s="16" t="s">
        <v>189</v>
      </c>
      <c r="D12" s="16" t="s">
        <v>190</v>
      </c>
      <c r="E12" s="16" t="s">
        <v>191</v>
      </c>
      <c r="F12" s="16" t="s">
        <v>192</v>
      </c>
      <c r="G12" s="16" t="s">
        <v>90</v>
      </c>
      <c r="H12" s="22" t="s">
        <v>193</v>
      </c>
      <c r="I12" s="16" t="s">
        <v>126</v>
      </c>
      <c r="J12" s="16" t="s">
        <v>93</v>
      </c>
      <c r="K12" s="16" t="s">
        <v>194</v>
      </c>
      <c r="L12" s="16" t="s">
        <v>195</v>
      </c>
      <c r="M12" s="16" t="s">
        <v>96</v>
      </c>
      <c r="N12" s="16" t="s">
        <v>130</v>
      </c>
      <c r="O12" s="16">
        <v>0</v>
      </c>
      <c r="P12" s="16"/>
    </row>
    <row r="13" spans="1:16" x14ac:dyDescent="0.25">
      <c r="A13" s="15" t="s">
        <v>196</v>
      </c>
      <c r="B13" s="15" t="s">
        <v>197</v>
      </c>
      <c r="C13" s="70" t="s">
        <v>523</v>
      </c>
      <c r="D13" s="15" t="s">
        <v>198</v>
      </c>
      <c r="E13" s="15" t="s">
        <v>199</v>
      </c>
      <c r="F13" s="15" t="s">
        <v>200</v>
      </c>
      <c r="G13" s="15" t="s">
        <v>137</v>
      </c>
      <c r="H13" s="20" t="s">
        <v>201</v>
      </c>
      <c r="I13" s="15" t="s">
        <v>92</v>
      </c>
      <c r="J13" s="15" t="s">
        <v>93</v>
      </c>
      <c r="K13" s="15" t="s">
        <v>202</v>
      </c>
      <c r="L13" s="15" t="s">
        <v>203</v>
      </c>
      <c r="M13" s="15" t="s">
        <v>167</v>
      </c>
      <c r="N13" s="15" t="s">
        <v>108</v>
      </c>
      <c r="O13" s="15">
        <v>2</v>
      </c>
      <c r="P13" s="15"/>
    </row>
    <row r="14" spans="1:16" x14ac:dyDescent="0.25">
      <c r="A14" s="41" t="s">
        <v>512</v>
      </c>
      <c r="B14" s="41" t="s">
        <v>511</v>
      </c>
      <c r="C14" s="41">
        <v>48511413</v>
      </c>
      <c r="D14" s="41" t="s">
        <v>510</v>
      </c>
      <c r="E14" s="41" t="s">
        <v>506</v>
      </c>
      <c r="F14" s="41" t="s">
        <v>509</v>
      </c>
      <c r="G14" s="41" t="s">
        <v>507</v>
      </c>
      <c r="H14" s="71" t="s">
        <v>91</v>
      </c>
      <c r="I14" s="41" t="s">
        <v>92</v>
      </c>
      <c r="J14" s="41" t="s">
        <v>93</v>
      </c>
      <c r="K14" s="41">
        <v>26773345833</v>
      </c>
      <c r="L14" s="41" t="s">
        <v>508</v>
      </c>
      <c r="M14" s="41" t="s">
        <v>96</v>
      </c>
      <c r="N14" s="41" t="s">
        <v>130</v>
      </c>
      <c r="O14" s="41">
        <v>0</v>
      </c>
      <c r="P14" s="41"/>
    </row>
  </sheetData>
  <autoFilter ref="A1:P13" xr:uid="{00000000-0009-0000-0000-000002000000}"/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E6820A"/>
  </sheetPr>
  <dimension ref="A1:L9"/>
  <sheetViews>
    <sheetView showGridLines="0" workbookViewId="0">
      <pane ySplit="1" topLeftCell="A2" activePane="bottomLeft" state="frozen"/>
      <selection pane="bottomLeft" activeCell="D14" sqref="D14"/>
    </sheetView>
  </sheetViews>
  <sheetFormatPr defaultRowHeight="15" x14ac:dyDescent="0.25"/>
  <cols>
    <col min="1" max="1" width="14" customWidth="1"/>
    <col min="2" max="2" width="26" customWidth="1"/>
    <col min="3" max="3" width="18" customWidth="1"/>
    <col min="4" max="4" width="20" customWidth="1"/>
    <col min="5" max="5" width="16" customWidth="1"/>
    <col min="6" max="6" width="26" customWidth="1"/>
    <col min="7" max="7" width="14" customWidth="1"/>
    <col min="8" max="8" width="12" customWidth="1"/>
    <col min="9" max="10" width="14" customWidth="1"/>
    <col min="11" max="11" width="18" customWidth="1"/>
    <col min="12" max="12" width="14" customWidth="1"/>
  </cols>
  <sheetData>
    <row r="1" spans="1:12" ht="26.1" customHeight="1" x14ac:dyDescent="0.25">
      <c r="A1" s="3" t="s">
        <v>204</v>
      </c>
      <c r="B1" s="3" t="s">
        <v>205</v>
      </c>
      <c r="C1" s="3" t="s">
        <v>206</v>
      </c>
      <c r="D1" s="3" t="s">
        <v>207</v>
      </c>
      <c r="E1" s="3" t="s">
        <v>78</v>
      </c>
      <c r="F1" s="3" t="s">
        <v>79</v>
      </c>
      <c r="G1" s="3" t="s">
        <v>208</v>
      </c>
      <c r="H1" s="3" t="s">
        <v>209</v>
      </c>
      <c r="I1" s="3" t="s">
        <v>210</v>
      </c>
      <c r="J1" s="3" t="s">
        <v>211</v>
      </c>
      <c r="K1" s="3" t="s">
        <v>212</v>
      </c>
      <c r="L1" s="3" t="s">
        <v>36</v>
      </c>
    </row>
    <row r="2" spans="1:12" x14ac:dyDescent="0.25">
      <c r="A2" s="16" t="s">
        <v>213</v>
      </c>
      <c r="B2" s="16" t="s">
        <v>89</v>
      </c>
      <c r="C2" s="16" t="s">
        <v>214</v>
      </c>
      <c r="D2" s="16" t="s">
        <v>215</v>
      </c>
      <c r="E2" s="16" t="s">
        <v>216</v>
      </c>
      <c r="F2" s="16" t="s">
        <v>217</v>
      </c>
      <c r="G2" s="16" t="s">
        <v>137</v>
      </c>
      <c r="H2" s="16" t="s">
        <v>218</v>
      </c>
      <c r="I2" s="16" t="s">
        <v>219</v>
      </c>
      <c r="J2" s="16" t="s">
        <v>220</v>
      </c>
      <c r="K2" s="16" t="s">
        <v>93</v>
      </c>
      <c r="L2" s="19" t="s">
        <v>91</v>
      </c>
    </row>
    <row r="3" spans="1:12" x14ac:dyDescent="0.25">
      <c r="A3" s="15" t="s">
        <v>221</v>
      </c>
      <c r="B3" s="15" t="s">
        <v>103</v>
      </c>
      <c r="C3" s="15" t="s">
        <v>222</v>
      </c>
      <c r="D3" s="15" t="s">
        <v>223</v>
      </c>
      <c r="E3" s="15" t="s">
        <v>224</v>
      </c>
      <c r="F3" s="15" t="s">
        <v>225</v>
      </c>
      <c r="G3" s="15" t="s">
        <v>137</v>
      </c>
      <c r="H3" s="15" t="s">
        <v>226</v>
      </c>
      <c r="I3" s="15" t="s">
        <v>227</v>
      </c>
      <c r="J3" s="15" t="s">
        <v>134</v>
      </c>
      <c r="K3" s="15" t="s">
        <v>93</v>
      </c>
      <c r="L3" s="19" t="s">
        <v>91</v>
      </c>
    </row>
    <row r="4" spans="1:12" x14ac:dyDescent="0.25">
      <c r="A4" s="16" t="s">
        <v>228</v>
      </c>
      <c r="B4" s="16" t="s">
        <v>114</v>
      </c>
      <c r="C4" s="16" t="s">
        <v>229</v>
      </c>
      <c r="D4" s="16" t="s">
        <v>230</v>
      </c>
      <c r="E4" s="16" t="s">
        <v>231</v>
      </c>
      <c r="F4" s="16" t="s">
        <v>232</v>
      </c>
      <c r="G4" s="16" t="s">
        <v>137</v>
      </c>
      <c r="H4" s="16" t="s">
        <v>226</v>
      </c>
      <c r="I4" s="16" t="s">
        <v>233</v>
      </c>
      <c r="J4" s="16" t="s">
        <v>234</v>
      </c>
      <c r="K4" s="16" t="s">
        <v>93</v>
      </c>
      <c r="L4" s="19" t="s">
        <v>91</v>
      </c>
    </row>
    <row r="5" spans="1:12" x14ac:dyDescent="0.25">
      <c r="A5" s="15" t="s">
        <v>235</v>
      </c>
      <c r="B5" s="15" t="s">
        <v>136</v>
      </c>
      <c r="C5" s="15" t="s">
        <v>236</v>
      </c>
      <c r="D5" s="15" t="s">
        <v>237</v>
      </c>
      <c r="E5" s="15" t="s">
        <v>238</v>
      </c>
      <c r="F5" s="15" t="s">
        <v>239</v>
      </c>
      <c r="G5" s="15" t="s">
        <v>137</v>
      </c>
      <c r="H5" s="15" t="s">
        <v>226</v>
      </c>
      <c r="I5" s="15" t="s">
        <v>240</v>
      </c>
      <c r="J5" s="15" t="s">
        <v>220</v>
      </c>
      <c r="K5" s="15" t="s">
        <v>93</v>
      </c>
      <c r="L5" s="19" t="s">
        <v>91</v>
      </c>
    </row>
    <row r="6" spans="1:12" x14ac:dyDescent="0.25">
      <c r="A6" s="16" t="s">
        <v>241</v>
      </c>
      <c r="B6" s="16" t="s">
        <v>153</v>
      </c>
      <c r="C6" s="16" t="s">
        <v>242</v>
      </c>
      <c r="D6" s="16" t="s">
        <v>243</v>
      </c>
      <c r="E6" s="16" t="s">
        <v>244</v>
      </c>
      <c r="F6" s="16" t="s">
        <v>245</v>
      </c>
      <c r="G6" s="16" t="s">
        <v>137</v>
      </c>
      <c r="H6" s="16" t="s">
        <v>226</v>
      </c>
      <c r="I6" s="16" t="s">
        <v>246</v>
      </c>
      <c r="J6" s="16" t="s">
        <v>247</v>
      </c>
      <c r="K6" s="16" t="s">
        <v>93</v>
      </c>
      <c r="L6" s="20" t="s">
        <v>248</v>
      </c>
    </row>
    <row r="7" spans="1:12" x14ac:dyDescent="0.25">
      <c r="A7" s="15" t="s">
        <v>249</v>
      </c>
      <c r="B7" s="15" t="s">
        <v>183</v>
      </c>
      <c r="C7" s="15" t="s">
        <v>242</v>
      </c>
      <c r="D7" s="15" t="s">
        <v>250</v>
      </c>
      <c r="E7" s="15" t="s">
        <v>251</v>
      </c>
      <c r="F7" s="15" t="s">
        <v>252</v>
      </c>
      <c r="G7" s="15" t="s">
        <v>137</v>
      </c>
      <c r="H7" s="15" t="s">
        <v>226</v>
      </c>
      <c r="I7" s="15" t="s">
        <v>253</v>
      </c>
      <c r="J7" s="15" t="s">
        <v>254</v>
      </c>
      <c r="K7" s="15" t="s">
        <v>93</v>
      </c>
      <c r="L7" s="19" t="s">
        <v>91</v>
      </c>
    </row>
    <row r="8" spans="1:12" x14ac:dyDescent="0.25">
      <c r="A8" s="16" t="s">
        <v>255</v>
      </c>
      <c r="B8" s="16" t="s">
        <v>192</v>
      </c>
      <c r="C8" s="16" t="s">
        <v>256</v>
      </c>
      <c r="D8" s="16" t="s">
        <v>215</v>
      </c>
      <c r="E8" s="16" t="s">
        <v>257</v>
      </c>
      <c r="F8" s="16" t="s">
        <v>258</v>
      </c>
      <c r="G8" s="16" t="s">
        <v>137</v>
      </c>
      <c r="H8" s="16" t="s">
        <v>226</v>
      </c>
      <c r="I8" s="16" t="s">
        <v>259</v>
      </c>
      <c r="J8" s="16" t="s">
        <v>260</v>
      </c>
      <c r="K8" s="16" t="s">
        <v>93</v>
      </c>
      <c r="L8" s="19" t="s">
        <v>91</v>
      </c>
    </row>
    <row r="9" spans="1:12" x14ac:dyDescent="0.25">
      <c r="A9" s="15" t="s">
        <v>261</v>
      </c>
      <c r="B9" s="15" t="s">
        <v>200</v>
      </c>
      <c r="C9" s="15" t="s">
        <v>262</v>
      </c>
      <c r="D9" s="15" t="s">
        <v>263</v>
      </c>
      <c r="E9" s="15" t="s">
        <v>264</v>
      </c>
      <c r="F9" s="15" t="s">
        <v>265</v>
      </c>
      <c r="G9" s="15" t="s">
        <v>137</v>
      </c>
      <c r="H9" s="15" t="s">
        <v>226</v>
      </c>
      <c r="I9" s="15" t="s">
        <v>144</v>
      </c>
      <c r="J9" s="15" t="s">
        <v>266</v>
      </c>
      <c r="K9" s="15" t="s">
        <v>93</v>
      </c>
      <c r="L9" s="19" t="s">
        <v>91</v>
      </c>
    </row>
  </sheetData>
  <autoFilter ref="A1:L9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C0392B"/>
  </sheetPr>
  <dimension ref="B1:F39"/>
  <sheetViews>
    <sheetView showGridLines="0" workbookViewId="0">
      <selection activeCell="D9" sqref="D9"/>
    </sheetView>
  </sheetViews>
  <sheetFormatPr defaultRowHeight="15" x14ac:dyDescent="0.25"/>
  <cols>
    <col min="1" max="1" width="2" customWidth="1"/>
    <col min="2" max="2" width="28.28515625" customWidth="1"/>
    <col min="3" max="6" width="16" customWidth="1"/>
    <col min="7" max="7" width="2" customWidth="1"/>
  </cols>
  <sheetData>
    <row r="1" spans="2:6" ht="33.950000000000003" customHeight="1" x14ac:dyDescent="0.25">
      <c r="B1" s="30" t="s">
        <v>267</v>
      </c>
      <c r="C1" s="29"/>
      <c r="D1" s="29"/>
      <c r="E1" s="29"/>
      <c r="F1" s="29"/>
    </row>
    <row r="2" spans="2:6" ht="20.100000000000001" customHeight="1" x14ac:dyDescent="0.25">
      <c r="B2" s="50" t="s">
        <v>268</v>
      </c>
      <c r="C2" s="47"/>
      <c r="D2" s="47"/>
      <c r="E2" s="47"/>
      <c r="F2" s="47"/>
    </row>
    <row r="3" spans="2:6" ht="20.100000000000001" customHeight="1" x14ac:dyDescent="0.25"/>
    <row r="4" spans="2:6" ht="20.100000000000001" customHeight="1" x14ac:dyDescent="0.25">
      <c r="B4" s="56" t="s">
        <v>269</v>
      </c>
      <c r="C4" s="47"/>
      <c r="D4" s="47"/>
      <c r="E4" s="47"/>
      <c r="F4" s="47"/>
    </row>
    <row r="5" spans="2:6" ht="20.100000000000001" customHeight="1" x14ac:dyDescent="0.25"/>
    <row r="6" spans="2:6" ht="20.100000000000001" customHeight="1" x14ac:dyDescent="0.25"/>
    <row r="7" spans="2:6" ht="20.100000000000001" customHeight="1" x14ac:dyDescent="0.25"/>
    <row r="8" spans="2:6" ht="20.100000000000001" customHeight="1" x14ac:dyDescent="0.25">
      <c r="B8" s="49" t="s">
        <v>270</v>
      </c>
      <c r="C8" s="47"/>
      <c r="D8" s="47"/>
      <c r="E8" s="51">
        <f>COUNTA(MEMBER_DB!B:B)-1</f>
        <v>13</v>
      </c>
      <c r="F8" s="47"/>
    </row>
    <row r="9" spans="2:6" ht="20.100000000000001" customHeight="1" x14ac:dyDescent="0.25">
      <c r="B9" s="43" t="s">
        <v>271</v>
      </c>
      <c r="C9" s="47"/>
      <c r="D9" s="47"/>
      <c r="E9" s="46">
        <f>COUNTIF(MEMBER_DB!H:H,"Active")</f>
        <v>5</v>
      </c>
      <c r="F9" s="47"/>
    </row>
    <row r="10" spans="2:6" ht="20.100000000000001" customHeight="1" x14ac:dyDescent="0.25">
      <c r="B10" s="49" t="s">
        <v>272</v>
      </c>
      <c r="C10" s="47"/>
      <c r="D10" s="47"/>
      <c r="E10" s="51">
        <f>COUNTIF(MEMBER_DB!H:H,"Pending")</f>
        <v>2</v>
      </c>
      <c r="F10" s="47"/>
    </row>
    <row r="11" spans="2:6" ht="20.100000000000001" customHeight="1" x14ac:dyDescent="0.25">
      <c r="B11" s="43" t="s">
        <v>273</v>
      </c>
      <c r="C11" s="47"/>
      <c r="D11" s="47"/>
      <c r="E11" s="46">
        <f>COUNTIF(MEMBER_DB!H:H,"Suspended")</f>
        <v>1</v>
      </c>
      <c r="F11" s="47"/>
    </row>
    <row r="12" spans="2:6" ht="20.100000000000001" customHeight="1" x14ac:dyDescent="0.25">
      <c r="B12" s="49" t="s">
        <v>274</v>
      </c>
      <c r="C12" s="47"/>
      <c r="D12" s="47"/>
      <c r="E12" s="51">
        <f>COUNTA(EMPLOYER_GROUPS!B:B)-1</f>
        <v>8</v>
      </c>
      <c r="F12" s="47"/>
    </row>
    <row r="13" spans="2:6" ht="20.100000000000001" customHeight="1" x14ac:dyDescent="0.25">
      <c r="B13" s="43" t="s">
        <v>275</v>
      </c>
      <c r="C13" s="47"/>
      <c r="D13" s="47"/>
      <c r="E13" s="46">
        <f>COUNTIF(MEMBER_DB!G:G,"Individual")</f>
        <v>4</v>
      </c>
      <c r="F13" s="47"/>
    </row>
    <row r="14" spans="2:6" ht="20.100000000000001" customHeight="1" x14ac:dyDescent="0.25">
      <c r="B14" s="57" t="s">
        <v>276</v>
      </c>
      <c r="C14" s="44"/>
      <c r="D14" s="44"/>
      <c r="E14" s="44"/>
      <c r="F14" s="45"/>
    </row>
    <row r="15" spans="2:6" ht="20.100000000000001" customHeight="1" x14ac:dyDescent="0.25">
      <c r="B15" s="43" t="s">
        <v>277</v>
      </c>
      <c r="C15" s="44"/>
      <c r="D15" s="45"/>
      <c r="E15" s="48" t="s">
        <v>278</v>
      </c>
      <c r="F15" s="45"/>
    </row>
    <row r="16" spans="2:6" ht="20.100000000000001" customHeight="1" x14ac:dyDescent="0.25">
      <c r="B16" s="49" t="s">
        <v>279</v>
      </c>
      <c r="C16" s="47"/>
      <c r="D16" s="47"/>
      <c r="E16" s="53" t="s">
        <v>280</v>
      </c>
      <c r="F16" s="47"/>
    </row>
    <row r="17" spans="2:6" ht="20.100000000000001" customHeight="1" x14ac:dyDescent="0.25">
      <c r="B17" s="43" t="s">
        <v>281</v>
      </c>
      <c r="C17" s="47"/>
      <c r="D17" s="47"/>
      <c r="E17" s="55" t="s">
        <v>282</v>
      </c>
      <c r="F17" s="47"/>
    </row>
    <row r="18" spans="2:6" ht="20.100000000000001" customHeight="1" x14ac:dyDescent="0.25">
      <c r="B18" s="49" t="s">
        <v>283</v>
      </c>
      <c r="C18" s="47"/>
      <c r="D18" s="47"/>
      <c r="E18" s="54" t="s">
        <v>218</v>
      </c>
      <c r="F18" s="47"/>
    </row>
    <row r="19" spans="2:6" ht="20.100000000000001" customHeight="1" x14ac:dyDescent="0.25">
      <c r="B19" s="43" t="s">
        <v>284</v>
      </c>
      <c r="C19" s="47"/>
      <c r="D19" s="47"/>
      <c r="E19" s="52">
        <f ca="1">COUNTIFS(MEMBER_DB!H:H,"Pending",MEMBER_DB!D:D,"&lt;"&amp;TODAY()-7)</f>
        <v>0</v>
      </c>
      <c r="F19" s="47"/>
    </row>
    <row r="20" spans="2:6" ht="20.100000000000001" customHeight="1" x14ac:dyDescent="0.25"/>
    <row r="21" spans="2:6" ht="26.1" customHeight="1" x14ac:dyDescent="0.25">
      <c r="B21" s="38" t="s">
        <v>285</v>
      </c>
      <c r="C21" s="29"/>
      <c r="D21" s="29"/>
      <c r="E21" s="29"/>
      <c r="F21" s="29"/>
    </row>
    <row r="22" spans="2:6" ht="20.100000000000001" customHeight="1" x14ac:dyDescent="0.25"/>
    <row r="23" spans="2:6" ht="20.100000000000001" customHeight="1" x14ac:dyDescent="0.25"/>
    <row r="24" spans="2:6" ht="20.100000000000001" customHeight="1" x14ac:dyDescent="0.25"/>
    <row r="25" spans="2:6" ht="20.100000000000001" customHeight="1" x14ac:dyDescent="0.25"/>
    <row r="26" spans="2:6" ht="20.100000000000001" customHeight="1" x14ac:dyDescent="0.25"/>
    <row r="27" spans="2:6" ht="20.100000000000001" customHeight="1" x14ac:dyDescent="0.25"/>
    <row r="28" spans="2:6" ht="20.100000000000001" customHeight="1" x14ac:dyDescent="0.25"/>
    <row r="29" spans="2:6" ht="20.100000000000001" customHeight="1" x14ac:dyDescent="0.25"/>
    <row r="30" spans="2:6" ht="20.100000000000001" customHeight="1" x14ac:dyDescent="0.25"/>
    <row r="31" spans="2:6" ht="20.100000000000001" customHeight="1" x14ac:dyDescent="0.25"/>
    <row r="32" spans="2:6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</sheetData>
  <mergeCells count="2">
    <mergeCell ref="B1:F1"/>
    <mergeCell ref="B21:F21"/>
  </mergeCells>
  <pageMargins left="0.75" right="0.75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C0392B"/>
  </sheetPr>
  <dimension ref="B1:B297"/>
  <sheetViews>
    <sheetView showGridLines="0" topLeftCell="A10" workbookViewId="0">
      <selection activeCell="F15" sqref="F15"/>
    </sheetView>
  </sheetViews>
  <sheetFormatPr defaultRowHeight="15" x14ac:dyDescent="0.25"/>
  <cols>
    <col min="1" max="1" width="2" customWidth="1"/>
    <col min="2" max="2" width="110" customWidth="1"/>
  </cols>
  <sheetData>
    <row r="1" spans="2:2" ht="26.1" customHeight="1" x14ac:dyDescent="0.25">
      <c r="B1" s="39" t="s">
        <v>286</v>
      </c>
    </row>
    <row r="2" spans="2:2" ht="15" customHeight="1" x14ac:dyDescent="0.25">
      <c r="B2" s="23" t="s">
        <v>287</v>
      </c>
    </row>
    <row r="3" spans="2:2" ht="15" customHeight="1" x14ac:dyDescent="0.25">
      <c r="B3" s="24" t="s">
        <v>288</v>
      </c>
    </row>
    <row r="4" spans="2:2" ht="15" customHeight="1" x14ac:dyDescent="0.25">
      <c r="B4" s="23" t="s">
        <v>289</v>
      </c>
    </row>
    <row r="5" spans="2:2" ht="15" customHeight="1" x14ac:dyDescent="0.25">
      <c r="B5" s="24" t="s">
        <v>290</v>
      </c>
    </row>
    <row r="6" spans="2:2" ht="15" customHeight="1" x14ac:dyDescent="0.25">
      <c r="B6" s="23" t="s">
        <v>291</v>
      </c>
    </row>
    <row r="7" spans="2:2" ht="15" customHeight="1" x14ac:dyDescent="0.25">
      <c r="B7" s="24" t="s">
        <v>292</v>
      </c>
    </row>
    <row r="8" spans="2:2" ht="15" customHeight="1" x14ac:dyDescent="0.25">
      <c r="B8" s="23" t="s">
        <v>293</v>
      </c>
    </row>
    <row r="9" spans="2:2" ht="15" customHeight="1" x14ac:dyDescent="0.25">
      <c r="B9" s="24" t="s">
        <v>287</v>
      </c>
    </row>
    <row r="10" spans="2:2" ht="15" customHeight="1" x14ac:dyDescent="0.25">
      <c r="B10" s="25" t="s">
        <v>294</v>
      </c>
    </row>
    <row r="11" spans="2:2" ht="15" customHeight="1" x14ac:dyDescent="0.25">
      <c r="B11" s="26"/>
    </row>
    <row r="12" spans="2:2" ht="15" customHeight="1" x14ac:dyDescent="0.25">
      <c r="B12" s="23" t="s">
        <v>295</v>
      </c>
    </row>
    <row r="13" spans="2:2" ht="15" customHeight="1" x14ac:dyDescent="0.25">
      <c r="B13" s="24" t="s">
        <v>296</v>
      </c>
    </row>
    <row r="14" spans="2:2" ht="15" customHeight="1" x14ac:dyDescent="0.25">
      <c r="B14" s="23" t="s">
        <v>295</v>
      </c>
    </row>
    <row r="15" spans="2:2" ht="15" customHeight="1" x14ac:dyDescent="0.25">
      <c r="B15" s="27" t="s">
        <v>297</v>
      </c>
    </row>
    <row r="16" spans="2:2" ht="15" customHeight="1" x14ac:dyDescent="0.25">
      <c r="B16" s="25" t="s">
        <v>298</v>
      </c>
    </row>
    <row r="17" spans="2:2" ht="15" customHeight="1" x14ac:dyDescent="0.25">
      <c r="B17" s="26" t="s">
        <v>299</v>
      </c>
    </row>
    <row r="18" spans="2:2" ht="15" customHeight="1" x14ac:dyDescent="0.25">
      <c r="B18" s="25"/>
    </row>
    <row r="19" spans="2:2" ht="15" customHeight="1" x14ac:dyDescent="0.25">
      <c r="B19" s="26" t="s">
        <v>300</v>
      </c>
    </row>
    <row r="20" spans="2:2" ht="15" customHeight="1" x14ac:dyDescent="0.25">
      <c r="B20" s="25" t="s">
        <v>301</v>
      </c>
    </row>
    <row r="21" spans="2:2" ht="15" customHeight="1" x14ac:dyDescent="0.25">
      <c r="B21" s="26"/>
    </row>
    <row r="22" spans="2:2" ht="15" customHeight="1" x14ac:dyDescent="0.25">
      <c r="B22" s="23" t="s">
        <v>302</v>
      </c>
    </row>
    <row r="23" spans="2:2" ht="15" customHeight="1" x14ac:dyDescent="0.25">
      <c r="B23" s="26" t="s">
        <v>303</v>
      </c>
    </row>
    <row r="24" spans="2:2" ht="15" customHeight="1" x14ac:dyDescent="0.25">
      <c r="B24" s="25" t="s">
        <v>304</v>
      </c>
    </row>
    <row r="25" spans="2:2" ht="15" customHeight="1" x14ac:dyDescent="0.25">
      <c r="B25" s="26" t="s">
        <v>305</v>
      </c>
    </row>
    <row r="26" spans="2:2" ht="15" customHeight="1" x14ac:dyDescent="0.25">
      <c r="B26" s="25" t="s">
        <v>306</v>
      </c>
    </row>
    <row r="27" spans="2:2" ht="15" customHeight="1" x14ac:dyDescent="0.25">
      <c r="B27" s="26" t="s">
        <v>307</v>
      </c>
    </row>
    <row r="28" spans="2:2" ht="15" customHeight="1" x14ac:dyDescent="0.25">
      <c r="B28" s="25" t="s">
        <v>308</v>
      </c>
    </row>
    <row r="29" spans="2:2" ht="15" customHeight="1" x14ac:dyDescent="0.25">
      <c r="B29" s="26" t="s">
        <v>309</v>
      </c>
    </row>
    <row r="30" spans="2:2" ht="15" customHeight="1" x14ac:dyDescent="0.25">
      <c r="B30" s="25" t="s">
        <v>310</v>
      </c>
    </row>
    <row r="31" spans="2:2" ht="15" customHeight="1" x14ac:dyDescent="0.25">
      <c r="B31" s="26" t="s">
        <v>311</v>
      </c>
    </row>
    <row r="32" spans="2:2" ht="15" customHeight="1" x14ac:dyDescent="0.25">
      <c r="B32" s="25" t="s">
        <v>312</v>
      </c>
    </row>
    <row r="33" spans="2:2" ht="15" customHeight="1" x14ac:dyDescent="0.25">
      <c r="B33" s="26" t="s">
        <v>313</v>
      </c>
    </row>
    <row r="34" spans="2:2" ht="15" customHeight="1" x14ac:dyDescent="0.25">
      <c r="B34" s="25"/>
    </row>
    <row r="35" spans="2:2" ht="15" customHeight="1" x14ac:dyDescent="0.25">
      <c r="B35" s="26" t="s">
        <v>314</v>
      </c>
    </row>
    <row r="36" spans="2:2" ht="15" customHeight="1" x14ac:dyDescent="0.25">
      <c r="B36" s="25" t="s">
        <v>315</v>
      </c>
    </row>
    <row r="37" spans="2:2" ht="15" customHeight="1" x14ac:dyDescent="0.25">
      <c r="B37" s="26" t="s">
        <v>316</v>
      </c>
    </row>
    <row r="38" spans="2:2" ht="15" customHeight="1" x14ac:dyDescent="0.25">
      <c r="B38" s="25" t="s">
        <v>317</v>
      </c>
    </row>
    <row r="39" spans="2:2" ht="15" customHeight="1" x14ac:dyDescent="0.25">
      <c r="B39" s="27" t="s">
        <v>318</v>
      </c>
    </row>
    <row r="40" spans="2:2" ht="15" customHeight="1" x14ac:dyDescent="0.25">
      <c r="B40" s="25"/>
    </row>
    <row r="41" spans="2:2" ht="15" customHeight="1" x14ac:dyDescent="0.25">
      <c r="B41" s="24" t="s">
        <v>319</v>
      </c>
    </row>
    <row r="42" spans="2:2" ht="15" customHeight="1" x14ac:dyDescent="0.25">
      <c r="B42" s="25" t="s">
        <v>320</v>
      </c>
    </row>
    <row r="43" spans="2:2" ht="15" customHeight="1" x14ac:dyDescent="0.25">
      <c r="B43" s="26" t="s">
        <v>321</v>
      </c>
    </row>
    <row r="44" spans="2:2" ht="15" customHeight="1" x14ac:dyDescent="0.25">
      <c r="B44" s="25" t="s">
        <v>322</v>
      </c>
    </row>
    <row r="45" spans="2:2" ht="15" customHeight="1" x14ac:dyDescent="0.25">
      <c r="B45" s="26" t="s">
        <v>323</v>
      </c>
    </row>
    <row r="46" spans="2:2" ht="15" customHeight="1" x14ac:dyDescent="0.25">
      <c r="B46" s="25" t="s">
        <v>324</v>
      </c>
    </row>
    <row r="47" spans="2:2" ht="15" customHeight="1" x14ac:dyDescent="0.25">
      <c r="B47" s="26" t="s">
        <v>325</v>
      </c>
    </row>
    <row r="48" spans="2:2" ht="15" customHeight="1" x14ac:dyDescent="0.25">
      <c r="B48" s="25" t="s">
        <v>326</v>
      </c>
    </row>
    <row r="49" spans="2:2" ht="15" customHeight="1" x14ac:dyDescent="0.25">
      <c r="B49" s="26" t="s">
        <v>317</v>
      </c>
    </row>
    <row r="50" spans="2:2" ht="15" customHeight="1" x14ac:dyDescent="0.25">
      <c r="B50" s="28" t="s">
        <v>318</v>
      </c>
    </row>
    <row r="51" spans="2:2" ht="15" customHeight="1" x14ac:dyDescent="0.25">
      <c r="B51" s="26"/>
    </row>
    <row r="52" spans="2:2" ht="15" customHeight="1" x14ac:dyDescent="0.25">
      <c r="B52" s="23" t="s">
        <v>327</v>
      </c>
    </row>
    <row r="53" spans="2:2" ht="15" customHeight="1" x14ac:dyDescent="0.25">
      <c r="B53" s="26" t="s">
        <v>328</v>
      </c>
    </row>
    <row r="54" spans="2:2" ht="15" customHeight="1" x14ac:dyDescent="0.25">
      <c r="B54" s="25" t="s">
        <v>329</v>
      </c>
    </row>
    <row r="55" spans="2:2" ht="15" customHeight="1" x14ac:dyDescent="0.25">
      <c r="B55" s="26"/>
    </row>
    <row r="56" spans="2:2" ht="15" customHeight="1" x14ac:dyDescent="0.25">
      <c r="B56" s="23" t="s">
        <v>330</v>
      </c>
    </row>
    <row r="57" spans="2:2" ht="15" customHeight="1" x14ac:dyDescent="0.25">
      <c r="B57" s="26" t="s">
        <v>331</v>
      </c>
    </row>
    <row r="58" spans="2:2" ht="15" customHeight="1" x14ac:dyDescent="0.25">
      <c r="B58" s="25" t="s">
        <v>332</v>
      </c>
    </row>
    <row r="59" spans="2:2" ht="15" customHeight="1" x14ac:dyDescent="0.25">
      <c r="B59" s="26" t="s">
        <v>333</v>
      </c>
    </row>
    <row r="60" spans="2:2" ht="15" customHeight="1" x14ac:dyDescent="0.25">
      <c r="B60" s="25" t="s">
        <v>334</v>
      </c>
    </row>
    <row r="61" spans="2:2" ht="15" customHeight="1" x14ac:dyDescent="0.25">
      <c r="B61" s="26" t="s">
        <v>335</v>
      </c>
    </row>
    <row r="62" spans="2:2" ht="15" customHeight="1" x14ac:dyDescent="0.25">
      <c r="B62" s="25" t="s">
        <v>336</v>
      </c>
    </row>
    <row r="63" spans="2:2" ht="15" customHeight="1" x14ac:dyDescent="0.25">
      <c r="B63" s="26" t="s">
        <v>337</v>
      </c>
    </row>
    <row r="64" spans="2:2" ht="15" customHeight="1" x14ac:dyDescent="0.25">
      <c r="B64" s="25" t="s">
        <v>338</v>
      </c>
    </row>
    <row r="65" spans="2:2" ht="15" customHeight="1" x14ac:dyDescent="0.25">
      <c r="B65" s="26" t="s">
        <v>339</v>
      </c>
    </row>
    <row r="66" spans="2:2" ht="15" customHeight="1" x14ac:dyDescent="0.25">
      <c r="B66" s="25" t="s">
        <v>340</v>
      </c>
    </row>
    <row r="67" spans="2:2" ht="15" customHeight="1" x14ac:dyDescent="0.25">
      <c r="B67" s="26" t="s">
        <v>341</v>
      </c>
    </row>
    <row r="68" spans="2:2" ht="15" customHeight="1" x14ac:dyDescent="0.25">
      <c r="B68" s="25" t="s">
        <v>342</v>
      </c>
    </row>
    <row r="69" spans="2:2" ht="15" customHeight="1" x14ac:dyDescent="0.25">
      <c r="B69" s="26" t="s">
        <v>343</v>
      </c>
    </row>
    <row r="70" spans="2:2" ht="15" customHeight="1" x14ac:dyDescent="0.25">
      <c r="B70" s="25" t="s">
        <v>344</v>
      </c>
    </row>
    <row r="71" spans="2:2" ht="15" customHeight="1" x14ac:dyDescent="0.25">
      <c r="B71" s="26" t="s">
        <v>345</v>
      </c>
    </row>
    <row r="72" spans="2:2" ht="15" customHeight="1" x14ac:dyDescent="0.25">
      <c r="B72" s="25" t="s">
        <v>346</v>
      </c>
    </row>
    <row r="73" spans="2:2" ht="15" customHeight="1" x14ac:dyDescent="0.25">
      <c r="B73" s="26" t="s">
        <v>347</v>
      </c>
    </row>
    <row r="74" spans="2:2" ht="15" customHeight="1" x14ac:dyDescent="0.25">
      <c r="B74" s="25"/>
    </row>
    <row r="75" spans="2:2" ht="15" customHeight="1" x14ac:dyDescent="0.25">
      <c r="B75" s="24" t="s">
        <v>348</v>
      </c>
    </row>
    <row r="76" spans="2:2" ht="15" customHeight="1" x14ac:dyDescent="0.25">
      <c r="B76" s="25" t="s">
        <v>349</v>
      </c>
    </row>
    <row r="77" spans="2:2" ht="15" customHeight="1" x14ac:dyDescent="0.25">
      <c r="B77" s="26"/>
    </row>
    <row r="78" spans="2:2" ht="15" customHeight="1" x14ac:dyDescent="0.25">
      <c r="B78" s="23" t="s">
        <v>350</v>
      </c>
    </row>
    <row r="79" spans="2:2" ht="15" customHeight="1" x14ac:dyDescent="0.25">
      <c r="B79" s="26" t="s">
        <v>351</v>
      </c>
    </row>
    <row r="80" spans="2:2" ht="15" customHeight="1" x14ac:dyDescent="0.25">
      <c r="B80" s="25"/>
    </row>
    <row r="81" spans="2:2" ht="15" customHeight="1" x14ac:dyDescent="0.25">
      <c r="B81" s="24" t="s">
        <v>352</v>
      </c>
    </row>
    <row r="82" spans="2:2" ht="15" customHeight="1" x14ac:dyDescent="0.25">
      <c r="B82" s="25" t="s">
        <v>353</v>
      </c>
    </row>
    <row r="83" spans="2:2" ht="15" customHeight="1" x14ac:dyDescent="0.25">
      <c r="B83" s="26" t="s">
        <v>354</v>
      </c>
    </row>
    <row r="84" spans="2:2" ht="15" customHeight="1" x14ac:dyDescent="0.25">
      <c r="B84" s="25" t="s">
        <v>355</v>
      </c>
    </row>
    <row r="85" spans="2:2" ht="15" customHeight="1" x14ac:dyDescent="0.25">
      <c r="B85" s="26" t="s">
        <v>356</v>
      </c>
    </row>
    <row r="86" spans="2:2" ht="15" customHeight="1" x14ac:dyDescent="0.25">
      <c r="B86" s="25" t="s">
        <v>357</v>
      </c>
    </row>
    <row r="87" spans="2:2" ht="15" customHeight="1" x14ac:dyDescent="0.25">
      <c r="B87" s="26" t="s">
        <v>358</v>
      </c>
    </row>
    <row r="88" spans="2:2" ht="15" customHeight="1" x14ac:dyDescent="0.25">
      <c r="B88" s="25" t="s">
        <v>359</v>
      </c>
    </row>
    <row r="89" spans="2:2" ht="15" customHeight="1" x14ac:dyDescent="0.25">
      <c r="B89" s="26"/>
    </row>
    <row r="90" spans="2:2" ht="15" customHeight="1" x14ac:dyDescent="0.25">
      <c r="B90" s="25" t="s">
        <v>360</v>
      </c>
    </row>
    <row r="91" spans="2:2" ht="15" customHeight="1" x14ac:dyDescent="0.25">
      <c r="B91" s="27" t="s">
        <v>361</v>
      </c>
    </row>
    <row r="92" spans="2:2" ht="15" customHeight="1" x14ac:dyDescent="0.25">
      <c r="B92" s="25"/>
    </row>
    <row r="93" spans="2:2" ht="15" customHeight="1" x14ac:dyDescent="0.25">
      <c r="B93" s="24" t="s">
        <v>295</v>
      </c>
    </row>
    <row r="94" spans="2:2" ht="15" customHeight="1" x14ac:dyDescent="0.25">
      <c r="B94" s="23" t="s">
        <v>362</v>
      </c>
    </row>
    <row r="95" spans="2:2" ht="15" customHeight="1" x14ac:dyDescent="0.25">
      <c r="B95" s="24" t="s">
        <v>295</v>
      </c>
    </row>
    <row r="96" spans="2:2" ht="15" customHeight="1" x14ac:dyDescent="0.25">
      <c r="B96" s="28" t="s">
        <v>363</v>
      </c>
    </row>
    <row r="97" spans="2:2" ht="15" customHeight="1" x14ac:dyDescent="0.25">
      <c r="B97" s="26" t="s">
        <v>364</v>
      </c>
    </row>
    <row r="98" spans="2:2" ht="15" customHeight="1" x14ac:dyDescent="0.25">
      <c r="B98" s="25" t="s">
        <v>300</v>
      </c>
    </row>
    <row r="99" spans="2:2" ht="15" customHeight="1" x14ac:dyDescent="0.25">
      <c r="B99" s="26"/>
    </row>
    <row r="100" spans="2:2" ht="15" customHeight="1" x14ac:dyDescent="0.25">
      <c r="B100" s="25" t="s">
        <v>365</v>
      </c>
    </row>
    <row r="101" spans="2:2" ht="15" customHeight="1" x14ac:dyDescent="0.25">
      <c r="B101" s="26" t="s">
        <v>366</v>
      </c>
    </row>
    <row r="102" spans="2:2" ht="15" customHeight="1" x14ac:dyDescent="0.25">
      <c r="B102" s="25" t="s">
        <v>367</v>
      </c>
    </row>
    <row r="103" spans="2:2" ht="15" customHeight="1" x14ac:dyDescent="0.25">
      <c r="B103" s="26" t="s">
        <v>368</v>
      </c>
    </row>
    <row r="104" spans="2:2" ht="15" customHeight="1" x14ac:dyDescent="0.25">
      <c r="B104" s="25" t="s">
        <v>369</v>
      </c>
    </row>
    <row r="105" spans="2:2" ht="15" customHeight="1" x14ac:dyDescent="0.25">
      <c r="B105" s="26" t="s">
        <v>370</v>
      </c>
    </row>
    <row r="106" spans="2:2" ht="15" customHeight="1" x14ac:dyDescent="0.25">
      <c r="B106" s="25" t="s">
        <v>371</v>
      </c>
    </row>
    <row r="107" spans="2:2" ht="15" customHeight="1" x14ac:dyDescent="0.25">
      <c r="B107" s="26" t="s">
        <v>372</v>
      </c>
    </row>
    <row r="108" spans="2:2" ht="15" customHeight="1" x14ac:dyDescent="0.25">
      <c r="B108" s="25" t="s">
        <v>373</v>
      </c>
    </row>
    <row r="109" spans="2:2" ht="15" customHeight="1" x14ac:dyDescent="0.25">
      <c r="B109" s="26"/>
    </row>
    <row r="110" spans="2:2" ht="15" customHeight="1" x14ac:dyDescent="0.25">
      <c r="B110" s="25" t="s">
        <v>374</v>
      </c>
    </row>
    <row r="111" spans="2:2" ht="15" customHeight="1" x14ac:dyDescent="0.25">
      <c r="B111" s="26" t="s">
        <v>375</v>
      </c>
    </row>
    <row r="112" spans="2:2" ht="15" customHeight="1" x14ac:dyDescent="0.25">
      <c r="B112" s="28" t="s">
        <v>361</v>
      </c>
    </row>
    <row r="113" spans="2:2" ht="15" customHeight="1" x14ac:dyDescent="0.25">
      <c r="B113" s="26"/>
    </row>
    <row r="114" spans="2:2" ht="15" customHeight="1" x14ac:dyDescent="0.25">
      <c r="B114" s="23" t="s">
        <v>295</v>
      </c>
    </row>
    <row r="115" spans="2:2" ht="15" customHeight="1" x14ac:dyDescent="0.25">
      <c r="B115" s="24" t="s">
        <v>376</v>
      </c>
    </row>
    <row r="116" spans="2:2" ht="15" customHeight="1" x14ac:dyDescent="0.25">
      <c r="B116" s="23" t="s">
        <v>295</v>
      </c>
    </row>
    <row r="117" spans="2:2" ht="15" customHeight="1" x14ac:dyDescent="0.25">
      <c r="B117" s="27" t="s">
        <v>377</v>
      </c>
    </row>
    <row r="118" spans="2:2" ht="15" customHeight="1" x14ac:dyDescent="0.25">
      <c r="B118" s="25" t="s">
        <v>378</v>
      </c>
    </row>
    <row r="119" spans="2:2" ht="15" customHeight="1" x14ac:dyDescent="0.25">
      <c r="B119" s="26" t="s">
        <v>379</v>
      </c>
    </row>
    <row r="120" spans="2:2" ht="15" customHeight="1" x14ac:dyDescent="0.25">
      <c r="B120" s="25"/>
    </row>
    <row r="121" spans="2:2" ht="15" customHeight="1" x14ac:dyDescent="0.25">
      <c r="B121" s="26" t="s">
        <v>380</v>
      </c>
    </row>
    <row r="122" spans="2:2" ht="15" customHeight="1" x14ac:dyDescent="0.25">
      <c r="B122" s="25" t="s">
        <v>381</v>
      </c>
    </row>
    <row r="123" spans="2:2" ht="15" customHeight="1" x14ac:dyDescent="0.25">
      <c r="B123" s="26" t="s">
        <v>382</v>
      </c>
    </row>
    <row r="124" spans="2:2" ht="15" customHeight="1" x14ac:dyDescent="0.25">
      <c r="B124" s="25"/>
    </row>
    <row r="125" spans="2:2" ht="15" customHeight="1" x14ac:dyDescent="0.25">
      <c r="B125" s="26" t="s">
        <v>383</v>
      </c>
    </row>
    <row r="126" spans="2:2" ht="15" customHeight="1" x14ac:dyDescent="0.25">
      <c r="B126" s="25" t="s">
        <v>384</v>
      </c>
    </row>
    <row r="127" spans="2:2" ht="15" customHeight="1" x14ac:dyDescent="0.25">
      <c r="B127" s="26"/>
    </row>
    <row r="128" spans="2:2" ht="15" customHeight="1" x14ac:dyDescent="0.25">
      <c r="B128" s="25" t="s">
        <v>385</v>
      </c>
    </row>
    <row r="129" spans="2:2" ht="15" customHeight="1" x14ac:dyDescent="0.25">
      <c r="B129" s="26" t="s">
        <v>386</v>
      </c>
    </row>
    <row r="130" spans="2:2" ht="15" customHeight="1" x14ac:dyDescent="0.25">
      <c r="B130" s="25" t="s">
        <v>317</v>
      </c>
    </row>
    <row r="131" spans="2:2" ht="15" customHeight="1" x14ac:dyDescent="0.25">
      <c r="B131" s="27" t="s">
        <v>318</v>
      </c>
    </row>
    <row r="132" spans="2:2" ht="15" customHeight="1" x14ac:dyDescent="0.25">
      <c r="B132" s="25"/>
    </row>
    <row r="133" spans="2:2" ht="15" customHeight="1" x14ac:dyDescent="0.25">
      <c r="B133" s="26" t="s">
        <v>387</v>
      </c>
    </row>
    <row r="134" spans="2:2" ht="15" customHeight="1" x14ac:dyDescent="0.25">
      <c r="B134" s="25" t="s">
        <v>388</v>
      </c>
    </row>
    <row r="135" spans="2:2" ht="15" customHeight="1" x14ac:dyDescent="0.25">
      <c r="B135" s="26" t="s">
        <v>389</v>
      </c>
    </row>
    <row r="136" spans="2:2" ht="15" customHeight="1" x14ac:dyDescent="0.25">
      <c r="B136" s="25"/>
    </row>
    <row r="137" spans="2:2" ht="15" customHeight="1" x14ac:dyDescent="0.25">
      <c r="B137" s="26" t="s">
        <v>390</v>
      </c>
    </row>
    <row r="138" spans="2:2" ht="15" customHeight="1" x14ac:dyDescent="0.25">
      <c r="B138" s="25" t="s">
        <v>391</v>
      </c>
    </row>
    <row r="139" spans="2:2" ht="15" customHeight="1" x14ac:dyDescent="0.25">
      <c r="B139" s="26" t="s">
        <v>392</v>
      </c>
    </row>
    <row r="140" spans="2:2" ht="15" customHeight="1" x14ac:dyDescent="0.25">
      <c r="B140" s="25" t="s">
        <v>393</v>
      </c>
    </row>
    <row r="141" spans="2:2" ht="15" customHeight="1" x14ac:dyDescent="0.25">
      <c r="B141" s="26" t="s">
        <v>394</v>
      </c>
    </row>
    <row r="142" spans="2:2" ht="15" customHeight="1" x14ac:dyDescent="0.25">
      <c r="B142" s="25" t="s">
        <v>395</v>
      </c>
    </row>
    <row r="143" spans="2:2" ht="15" customHeight="1" x14ac:dyDescent="0.25">
      <c r="B143" s="26"/>
    </row>
    <row r="144" spans="2:2" ht="15" customHeight="1" x14ac:dyDescent="0.25">
      <c r="B144" s="25" t="s">
        <v>396</v>
      </c>
    </row>
    <row r="145" spans="2:2" ht="15" customHeight="1" x14ac:dyDescent="0.25">
      <c r="B145" s="26"/>
    </row>
    <row r="146" spans="2:2" ht="15" customHeight="1" x14ac:dyDescent="0.25">
      <c r="B146" s="25" t="s">
        <v>397</v>
      </c>
    </row>
    <row r="147" spans="2:2" ht="15" customHeight="1" x14ac:dyDescent="0.25">
      <c r="B147" s="26" t="s">
        <v>398</v>
      </c>
    </row>
    <row r="148" spans="2:2" ht="15" customHeight="1" x14ac:dyDescent="0.25">
      <c r="B148" s="25" t="s">
        <v>399</v>
      </c>
    </row>
    <row r="149" spans="2:2" ht="15" customHeight="1" x14ac:dyDescent="0.25">
      <c r="B149" s="26" t="s">
        <v>317</v>
      </c>
    </row>
    <row r="150" spans="2:2" ht="15" customHeight="1" x14ac:dyDescent="0.25">
      <c r="B150" s="28" t="s">
        <v>318</v>
      </c>
    </row>
    <row r="151" spans="2:2" ht="15" customHeight="1" x14ac:dyDescent="0.25">
      <c r="B151" s="26"/>
    </row>
    <row r="152" spans="2:2" ht="15" customHeight="1" x14ac:dyDescent="0.25">
      <c r="B152" s="25" t="s">
        <v>400</v>
      </c>
    </row>
    <row r="153" spans="2:2" ht="15" customHeight="1" x14ac:dyDescent="0.25">
      <c r="B153" s="26" t="s">
        <v>401</v>
      </c>
    </row>
    <row r="154" spans="2:2" ht="15" customHeight="1" x14ac:dyDescent="0.25">
      <c r="B154" s="25" t="s">
        <v>402</v>
      </c>
    </row>
    <row r="155" spans="2:2" ht="15" customHeight="1" x14ac:dyDescent="0.25">
      <c r="B155" s="26" t="s">
        <v>403</v>
      </c>
    </row>
    <row r="156" spans="2:2" ht="15" customHeight="1" x14ac:dyDescent="0.25">
      <c r="B156" s="25" t="s">
        <v>404</v>
      </c>
    </row>
    <row r="157" spans="2:2" ht="15" customHeight="1" x14ac:dyDescent="0.25">
      <c r="B157" s="26"/>
    </row>
    <row r="158" spans="2:2" ht="15" customHeight="1" x14ac:dyDescent="0.25">
      <c r="B158" s="25" t="s">
        <v>405</v>
      </c>
    </row>
    <row r="159" spans="2:2" ht="15" customHeight="1" x14ac:dyDescent="0.25">
      <c r="B159" s="26" t="s">
        <v>406</v>
      </c>
    </row>
    <row r="160" spans="2:2" ht="15" customHeight="1" x14ac:dyDescent="0.25">
      <c r="B160" s="25" t="s">
        <v>407</v>
      </c>
    </row>
    <row r="161" spans="2:2" ht="15" customHeight="1" x14ac:dyDescent="0.25">
      <c r="B161" s="26" t="s">
        <v>408</v>
      </c>
    </row>
    <row r="162" spans="2:2" ht="15" customHeight="1" x14ac:dyDescent="0.25">
      <c r="B162" s="28" t="s">
        <v>361</v>
      </c>
    </row>
    <row r="163" spans="2:2" ht="15" customHeight="1" x14ac:dyDescent="0.25">
      <c r="B163" s="26"/>
    </row>
    <row r="164" spans="2:2" ht="15" customHeight="1" x14ac:dyDescent="0.25">
      <c r="B164" s="23" t="s">
        <v>295</v>
      </c>
    </row>
    <row r="165" spans="2:2" ht="15" customHeight="1" x14ac:dyDescent="0.25">
      <c r="B165" s="24" t="s">
        <v>409</v>
      </c>
    </row>
    <row r="166" spans="2:2" ht="15" customHeight="1" x14ac:dyDescent="0.25">
      <c r="B166" s="23" t="s">
        <v>295</v>
      </c>
    </row>
    <row r="167" spans="2:2" ht="15" customHeight="1" x14ac:dyDescent="0.25">
      <c r="B167" s="27" t="s">
        <v>410</v>
      </c>
    </row>
    <row r="168" spans="2:2" ht="15" customHeight="1" x14ac:dyDescent="0.25">
      <c r="B168" s="25" t="s">
        <v>378</v>
      </c>
    </row>
    <row r="169" spans="2:2" ht="15" customHeight="1" x14ac:dyDescent="0.25">
      <c r="B169" s="26" t="s">
        <v>379</v>
      </c>
    </row>
    <row r="170" spans="2:2" ht="15" customHeight="1" x14ac:dyDescent="0.25">
      <c r="B170" s="25"/>
    </row>
    <row r="171" spans="2:2" ht="15" customHeight="1" x14ac:dyDescent="0.25">
      <c r="B171" s="26" t="s">
        <v>411</v>
      </c>
    </row>
    <row r="172" spans="2:2" ht="15" customHeight="1" x14ac:dyDescent="0.25">
      <c r="B172" s="25" t="s">
        <v>412</v>
      </c>
    </row>
    <row r="173" spans="2:2" ht="15" customHeight="1" x14ac:dyDescent="0.25">
      <c r="B173" s="26" t="s">
        <v>413</v>
      </c>
    </row>
    <row r="174" spans="2:2" ht="15" customHeight="1" x14ac:dyDescent="0.25">
      <c r="B174" s="25"/>
    </row>
    <row r="175" spans="2:2" ht="15" customHeight="1" x14ac:dyDescent="0.25">
      <c r="B175" s="26" t="s">
        <v>383</v>
      </c>
    </row>
    <row r="176" spans="2:2" ht="15" customHeight="1" x14ac:dyDescent="0.25">
      <c r="B176" s="25" t="s">
        <v>414</v>
      </c>
    </row>
    <row r="177" spans="2:2" ht="15" customHeight="1" x14ac:dyDescent="0.25">
      <c r="B177" s="26" t="s">
        <v>415</v>
      </c>
    </row>
    <row r="178" spans="2:2" ht="15" customHeight="1" x14ac:dyDescent="0.25">
      <c r="B178" s="25" t="s">
        <v>416</v>
      </c>
    </row>
    <row r="179" spans="2:2" ht="15" customHeight="1" x14ac:dyDescent="0.25">
      <c r="B179" s="26"/>
    </row>
    <row r="180" spans="2:2" ht="15" customHeight="1" x14ac:dyDescent="0.25">
      <c r="B180" s="25" t="s">
        <v>385</v>
      </c>
    </row>
    <row r="181" spans="2:2" ht="15" customHeight="1" x14ac:dyDescent="0.25">
      <c r="B181" s="26" t="s">
        <v>417</v>
      </c>
    </row>
    <row r="182" spans="2:2" ht="15" customHeight="1" x14ac:dyDescent="0.25">
      <c r="B182" s="25" t="s">
        <v>418</v>
      </c>
    </row>
    <row r="183" spans="2:2" ht="15" customHeight="1" x14ac:dyDescent="0.25">
      <c r="B183" s="26" t="s">
        <v>419</v>
      </c>
    </row>
    <row r="184" spans="2:2" ht="15" customHeight="1" x14ac:dyDescent="0.25">
      <c r="B184" s="25" t="s">
        <v>420</v>
      </c>
    </row>
    <row r="185" spans="2:2" ht="15" customHeight="1" x14ac:dyDescent="0.25">
      <c r="B185" s="26" t="s">
        <v>421</v>
      </c>
    </row>
    <row r="186" spans="2:2" ht="15" customHeight="1" x14ac:dyDescent="0.25">
      <c r="B186" s="25" t="s">
        <v>422</v>
      </c>
    </row>
    <row r="187" spans="2:2" ht="15" customHeight="1" x14ac:dyDescent="0.25">
      <c r="B187" s="26" t="s">
        <v>423</v>
      </c>
    </row>
    <row r="188" spans="2:2" ht="15" customHeight="1" x14ac:dyDescent="0.25">
      <c r="B188" s="25" t="s">
        <v>424</v>
      </c>
    </row>
    <row r="189" spans="2:2" ht="15" customHeight="1" x14ac:dyDescent="0.25">
      <c r="B189" s="26" t="s">
        <v>425</v>
      </c>
    </row>
    <row r="190" spans="2:2" ht="15" customHeight="1" x14ac:dyDescent="0.25">
      <c r="B190" s="25" t="s">
        <v>426</v>
      </c>
    </row>
    <row r="191" spans="2:2" ht="15" customHeight="1" x14ac:dyDescent="0.25">
      <c r="B191" s="26" t="s">
        <v>427</v>
      </c>
    </row>
    <row r="192" spans="2:2" ht="15" customHeight="1" x14ac:dyDescent="0.25">
      <c r="B192" s="28" t="s">
        <v>318</v>
      </c>
    </row>
    <row r="193" spans="2:2" ht="15" customHeight="1" x14ac:dyDescent="0.25">
      <c r="B193" s="27" t="s">
        <v>361</v>
      </c>
    </row>
    <row r="194" spans="2:2" ht="15" customHeight="1" x14ac:dyDescent="0.25">
      <c r="B194" s="25"/>
    </row>
    <row r="195" spans="2:2" ht="15" customHeight="1" x14ac:dyDescent="0.25">
      <c r="B195" s="24" t="s">
        <v>295</v>
      </c>
    </row>
    <row r="196" spans="2:2" ht="15" customHeight="1" x14ac:dyDescent="0.25">
      <c r="B196" s="23" t="s">
        <v>428</v>
      </c>
    </row>
    <row r="197" spans="2:2" ht="15" customHeight="1" x14ac:dyDescent="0.25">
      <c r="B197" s="24" t="s">
        <v>295</v>
      </c>
    </row>
    <row r="198" spans="2:2" ht="15" customHeight="1" x14ac:dyDescent="0.25">
      <c r="B198" s="28" t="s">
        <v>429</v>
      </c>
    </row>
    <row r="199" spans="2:2" ht="15" customHeight="1" x14ac:dyDescent="0.25">
      <c r="B199" s="26" t="s">
        <v>430</v>
      </c>
    </row>
    <row r="200" spans="2:2" ht="15" customHeight="1" x14ac:dyDescent="0.25">
      <c r="B200" s="25" t="s">
        <v>431</v>
      </c>
    </row>
    <row r="201" spans="2:2" ht="15" customHeight="1" x14ac:dyDescent="0.25">
      <c r="B201" s="26"/>
    </row>
    <row r="202" spans="2:2" ht="15" customHeight="1" x14ac:dyDescent="0.25">
      <c r="B202" s="25" t="s">
        <v>432</v>
      </c>
    </row>
    <row r="203" spans="2:2" ht="15" customHeight="1" x14ac:dyDescent="0.25">
      <c r="B203" s="26" t="s">
        <v>433</v>
      </c>
    </row>
    <row r="204" spans="2:2" ht="15" customHeight="1" x14ac:dyDescent="0.25">
      <c r="B204" s="25" t="s">
        <v>434</v>
      </c>
    </row>
    <row r="205" spans="2:2" ht="15" customHeight="1" x14ac:dyDescent="0.25">
      <c r="B205" s="26"/>
    </row>
    <row r="206" spans="2:2" ht="15" customHeight="1" x14ac:dyDescent="0.25">
      <c r="B206" s="25" t="s">
        <v>435</v>
      </c>
    </row>
    <row r="207" spans="2:2" ht="15" customHeight="1" x14ac:dyDescent="0.25">
      <c r="B207" s="26" t="s">
        <v>436</v>
      </c>
    </row>
    <row r="208" spans="2:2" ht="15" customHeight="1" x14ac:dyDescent="0.25">
      <c r="B208" s="25" t="s">
        <v>437</v>
      </c>
    </row>
    <row r="209" spans="2:2" ht="15" customHeight="1" x14ac:dyDescent="0.25">
      <c r="B209" s="26"/>
    </row>
    <row r="210" spans="2:2" ht="15" customHeight="1" x14ac:dyDescent="0.25">
      <c r="B210" s="25" t="s">
        <v>438</v>
      </c>
    </row>
    <row r="211" spans="2:2" ht="15" customHeight="1" x14ac:dyDescent="0.25">
      <c r="B211" s="26" t="s">
        <v>439</v>
      </c>
    </row>
    <row r="212" spans="2:2" ht="15" customHeight="1" x14ac:dyDescent="0.25">
      <c r="B212" s="25" t="s">
        <v>440</v>
      </c>
    </row>
    <row r="213" spans="2:2" ht="15" customHeight="1" x14ac:dyDescent="0.25">
      <c r="B213" s="27" t="s">
        <v>361</v>
      </c>
    </row>
    <row r="214" spans="2:2" ht="15" customHeight="1" x14ac:dyDescent="0.25">
      <c r="B214" s="25"/>
    </row>
    <row r="215" spans="2:2" ht="15" customHeight="1" x14ac:dyDescent="0.25">
      <c r="B215" s="24" t="s">
        <v>295</v>
      </c>
    </row>
    <row r="216" spans="2:2" ht="15" customHeight="1" x14ac:dyDescent="0.25">
      <c r="B216" s="23" t="s">
        <v>441</v>
      </c>
    </row>
    <row r="217" spans="2:2" ht="15" customHeight="1" x14ac:dyDescent="0.25">
      <c r="B217" s="24" t="s">
        <v>295</v>
      </c>
    </row>
    <row r="218" spans="2:2" ht="15" customHeight="1" x14ac:dyDescent="0.25">
      <c r="B218" s="28" t="s">
        <v>442</v>
      </c>
    </row>
    <row r="219" spans="2:2" ht="15" customHeight="1" x14ac:dyDescent="0.25">
      <c r="B219" s="26" t="s">
        <v>443</v>
      </c>
    </row>
    <row r="220" spans="2:2" ht="15" customHeight="1" x14ac:dyDescent="0.25">
      <c r="B220" s="25" t="s">
        <v>444</v>
      </c>
    </row>
    <row r="221" spans="2:2" ht="15" customHeight="1" x14ac:dyDescent="0.25">
      <c r="B221" s="26" t="s">
        <v>445</v>
      </c>
    </row>
    <row r="222" spans="2:2" ht="15" customHeight="1" x14ac:dyDescent="0.25">
      <c r="B222" s="25" t="s">
        <v>446</v>
      </c>
    </row>
    <row r="223" spans="2:2" ht="15" customHeight="1" x14ac:dyDescent="0.25">
      <c r="B223" s="26" t="s">
        <v>447</v>
      </c>
    </row>
    <row r="224" spans="2:2" ht="15" customHeight="1" x14ac:dyDescent="0.25">
      <c r="B224" s="25" t="s">
        <v>448</v>
      </c>
    </row>
    <row r="225" spans="2:2" ht="15" customHeight="1" x14ac:dyDescent="0.25">
      <c r="B225" s="26" t="s">
        <v>449</v>
      </c>
    </row>
    <row r="226" spans="2:2" ht="15" customHeight="1" x14ac:dyDescent="0.25">
      <c r="B226" s="25" t="s">
        <v>450</v>
      </c>
    </row>
    <row r="227" spans="2:2" ht="15" customHeight="1" x14ac:dyDescent="0.25">
      <c r="B227" s="26" t="s">
        <v>451</v>
      </c>
    </row>
    <row r="228" spans="2:2" ht="15" customHeight="1" x14ac:dyDescent="0.25">
      <c r="B228" s="25" t="s">
        <v>452</v>
      </c>
    </row>
    <row r="229" spans="2:2" ht="15" customHeight="1" x14ac:dyDescent="0.25">
      <c r="B229" s="26" t="s">
        <v>453</v>
      </c>
    </row>
    <row r="230" spans="2:2" ht="15" customHeight="1" x14ac:dyDescent="0.25">
      <c r="B230" s="25" t="s">
        <v>454</v>
      </c>
    </row>
    <row r="231" spans="2:2" ht="15" customHeight="1" x14ac:dyDescent="0.25">
      <c r="B231" s="26" t="s">
        <v>455</v>
      </c>
    </row>
    <row r="232" spans="2:2" ht="15" customHeight="1" x14ac:dyDescent="0.25">
      <c r="B232" s="25" t="s">
        <v>456</v>
      </c>
    </row>
    <row r="233" spans="2:2" ht="15" customHeight="1" x14ac:dyDescent="0.25">
      <c r="B233" s="26" t="s">
        <v>457</v>
      </c>
    </row>
    <row r="234" spans="2:2" ht="15" customHeight="1" x14ac:dyDescent="0.25">
      <c r="B234" s="25" t="s">
        <v>458</v>
      </c>
    </row>
    <row r="235" spans="2:2" ht="15" customHeight="1" x14ac:dyDescent="0.25">
      <c r="B235" s="26" t="s">
        <v>459</v>
      </c>
    </row>
    <row r="236" spans="2:2" ht="15" customHeight="1" x14ac:dyDescent="0.25">
      <c r="B236" s="25" t="s">
        <v>460</v>
      </c>
    </row>
    <row r="237" spans="2:2" ht="15" customHeight="1" x14ac:dyDescent="0.25">
      <c r="B237" s="26" t="s">
        <v>461</v>
      </c>
    </row>
    <row r="238" spans="2:2" ht="15" customHeight="1" x14ac:dyDescent="0.25">
      <c r="B238" s="28" t="s">
        <v>462</v>
      </c>
    </row>
    <row r="239" spans="2:2" ht="15" customHeight="1" x14ac:dyDescent="0.25">
      <c r="B239" s="27" t="s">
        <v>361</v>
      </c>
    </row>
    <row r="240" spans="2:2" ht="15" customHeight="1" x14ac:dyDescent="0.25">
      <c r="B240" s="25"/>
    </row>
    <row r="241" spans="2:2" ht="15" customHeight="1" x14ac:dyDescent="0.25">
      <c r="B241" s="24" t="s">
        <v>295</v>
      </c>
    </row>
    <row r="242" spans="2:2" ht="15" customHeight="1" x14ac:dyDescent="0.25">
      <c r="B242" s="23" t="s">
        <v>463</v>
      </c>
    </row>
    <row r="243" spans="2:2" ht="15" customHeight="1" x14ac:dyDescent="0.25">
      <c r="B243" s="24" t="s">
        <v>295</v>
      </c>
    </row>
    <row r="244" spans="2:2" ht="15" customHeight="1" x14ac:dyDescent="0.25">
      <c r="B244" s="28" t="s">
        <v>464</v>
      </c>
    </row>
    <row r="245" spans="2:2" ht="15" customHeight="1" x14ac:dyDescent="0.25">
      <c r="B245" s="26" t="s">
        <v>465</v>
      </c>
    </row>
    <row r="246" spans="2:2" ht="15" customHeight="1" x14ac:dyDescent="0.25">
      <c r="B246" s="25" t="s">
        <v>466</v>
      </c>
    </row>
    <row r="247" spans="2:2" ht="15" customHeight="1" x14ac:dyDescent="0.25">
      <c r="B247" s="26" t="s">
        <v>467</v>
      </c>
    </row>
    <row r="248" spans="2:2" ht="15" customHeight="1" x14ac:dyDescent="0.25">
      <c r="B248" s="25" t="s">
        <v>468</v>
      </c>
    </row>
    <row r="249" spans="2:2" ht="15" customHeight="1" x14ac:dyDescent="0.25">
      <c r="B249" s="26" t="s">
        <v>469</v>
      </c>
    </row>
    <row r="250" spans="2:2" ht="15" customHeight="1" x14ac:dyDescent="0.25">
      <c r="B250" s="25" t="s">
        <v>470</v>
      </c>
    </row>
    <row r="251" spans="2:2" ht="15" customHeight="1" x14ac:dyDescent="0.25">
      <c r="B251" s="26" t="s">
        <v>471</v>
      </c>
    </row>
    <row r="252" spans="2:2" ht="15" customHeight="1" x14ac:dyDescent="0.25">
      <c r="B252" s="25" t="s">
        <v>472</v>
      </c>
    </row>
    <row r="253" spans="2:2" ht="15" customHeight="1" x14ac:dyDescent="0.25">
      <c r="B253" s="26" t="s">
        <v>473</v>
      </c>
    </row>
    <row r="254" spans="2:2" ht="15" customHeight="1" x14ac:dyDescent="0.25">
      <c r="B254" s="25" t="s">
        <v>474</v>
      </c>
    </row>
    <row r="255" spans="2:2" ht="15" customHeight="1" x14ac:dyDescent="0.25">
      <c r="B255" s="27" t="s">
        <v>475</v>
      </c>
    </row>
    <row r="256" spans="2:2" ht="15" customHeight="1" x14ac:dyDescent="0.25">
      <c r="B256" s="25" t="s">
        <v>476</v>
      </c>
    </row>
    <row r="257" spans="2:2" ht="15" customHeight="1" x14ac:dyDescent="0.25">
      <c r="B257" s="26" t="s">
        <v>477</v>
      </c>
    </row>
    <row r="258" spans="2:2" ht="15" customHeight="1" x14ac:dyDescent="0.25">
      <c r="B258" s="28" t="s">
        <v>361</v>
      </c>
    </row>
    <row r="259" spans="2:2" ht="15" customHeight="1" x14ac:dyDescent="0.25">
      <c r="B259" s="26"/>
    </row>
    <row r="260" spans="2:2" ht="15" customHeight="1" x14ac:dyDescent="0.25">
      <c r="B260" s="23" t="s">
        <v>295</v>
      </c>
    </row>
    <row r="261" spans="2:2" ht="15" customHeight="1" x14ac:dyDescent="0.25">
      <c r="B261" s="24" t="s">
        <v>478</v>
      </c>
    </row>
    <row r="262" spans="2:2" ht="15" customHeight="1" x14ac:dyDescent="0.25">
      <c r="B262" s="23" t="s">
        <v>295</v>
      </c>
    </row>
    <row r="263" spans="2:2" ht="15" customHeight="1" x14ac:dyDescent="0.25">
      <c r="B263" s="27" t="s">
        <v>479</v>
      </c>
    </row>
    <row r="264" spans="2:2" ht="15" customHeight="1" x14ac:dyDescent="0.25">
      <c r="B264" s="25" t="s">
        <v>480</v>
      </c>
    </row>
    <row r="265" spans="2:2" ht="15" customHeight="1" x14ac:dyDescent="0.25">
      <c r="B265" s="26" t="s">
        <v>481</v>
      </c>
    </row>
    <row r="266" spans="2:2" ht="15" customHeight="1" x14ac:dyDescent="0.25">
      <c r="B266" s="25" t="s">
        <v>482</v>
      </c>
    </row>
    <row r="267" spans="2:2" ht="15" customHeight="1" x14ac:dyDescent="0.25">
      <c r="B267" s="26" t="s">
        <v>483</v>
      </c>
    </row>
    <row r="268" spans="2:2" ht="15" customHeight="1" x14ac:dyDescent="0.25">
      <c r="B268" s="25"/>
    </row>
    <row r="269" spans="2:2" ht="15" customHeight="1" x14ac:dyDescent="0.25">
      <c r="B269" s="26" t="s">
        <v>484</v>
      </c>
    </row>
    <row r="270" spans="2:2" ht="15" customHeight="1" x14ac:dyDescent="0.25">
      <c r="B270" s="25" t="s">
        <v>485</v>
      </c>
    </row>
    <row r="271" spans="2:2" ht="15" customHeight="1" x14ac:dyDescent="0.25">
      <c r="B271" s="26" t="s">
        <v>486</v>
      </c>
    </row>
    <row r="272" spans="2:2" ht="15" customHeight="1" x14ac:dyDescent="0.25">
      <c r="B272" s="25" t="s">
        <v>487</v>
      </c>
    </row>
    <row r="273" spans="2:2" ht="15" customHeight="1" x14ac:dyDescent="0.25">
      <c r="B273" s="26" t="s">
        <v>488</v>
      </c>
    </row>
    <row r="274" spans="2:2" ht="15" customHeight="1" x14ac:dyDescent="0.25">
      <c r="B274" s="25" t="s">
        <v>489</v>
      </c>
    </row>
    <row r="275" spans="2:2" ht="15" customHeight="1" x14ac:dyDescent="0.25">
      <c r="B275" s="27" t="s">
        <v>318</v>
      </c>
    </row>
    <row r="276" spans="2:2" ht="15" customHeight="1" x14ac:dyDescent="0.25">
      <c r="B276" s="25"/>
    </row>
    <row r="277" spans="2:2" ht="15" customHeight="1" x14ac:dyDescent="0.25">
      <c r="B277" s="26" t="s">
        <v>490</v>
      </c>
    </row>
    <row r="278" spans="2:2" ht="15" customHeight="1" x14ac:dyDescent="0.25">
      <c r="B278" s="25" t="s">
        <v>491</v>
      </c>
    </row>
    <row r="279" spans="2:2" ht="15" customHeight="1" x14ac:dyDescent="0.25">
      <c r="B279" s="26" t="s">
        <v>492</v>
      </c>
    </row>
    <row r="280" spans="2:2" ht="15" customHeight="1" x14ac:dyDescent="0.25">
      <c r="B280" s="25" t="s">
        <v>493</v>
      </c>
    </row>
    <row r="281" spans="2:2" ht="15" customHeight="1" x14ac:dyDescent="0.25">
      <c r="B281" s="26" t="s">
        <v>494</v>
      </c>
    </row>
    <row r="282" spans="2:2" ht="15" customHeight="1" x14ac:dyDescent="0.25">
      <c r="B282" s="25" t="s">
        <v>495</v>
      </c>
    </row>
    <row r="283" spans="2:2" ht="15" customHeight="1" x14ac:dyDescent="0.25">
      <c r="B283" s="27" t="s">
        <v>361</v>
      </c>
    </row>
    <row r="284" spans="2:2" ht="15" customHeight="1" x14ac:dyDescent="0.25">
      <c r="B284" s="25"/>
    </row>
    <row r="285" spans="2:2" ht="15" customHeight="1" x14ac:dyDescent="0.25">
      <c r="B285" s="24" t="s">
        <v>287</v>
      </c>
    </row>
    <row r="286" spans="2:2" ht="15" customHeight="1" x14ac:dyDescent="0.25">
      <c r="B286" s="23" t="s">
        <v>496</v>
      </c>
    </row>
    <row r="287" spans="2:2" ht="15" customHeight="1" x14ac:dyDescent="0.25">
      <c r="B287" s="24" t="s">
        <v>497</v>
      </c>
    </row>
    <row r="288" spans="2:2" ht="15" customHeight="1" x14ac:dyDescent="0.25">
      <c r="B288" s="23" t="s">
        <v>498</v>
      </c>
    </row>
    <row r="289" spans="2:2" ht="15" customHeight="1" x14ac:dyDescent="0.25">
      <c r="B289" s="24" t="s">
        <v>499</v>
      </c>
    </row>
    <row r="290" spans="2:2" ht="15" customHeight="1" x14ac:dyDescent="0.25">
      <c r="B290" s="23" t="s">
        <v>500</v>
      </c>
    </row>
    <row r="291" spans="2:2" ht="15" customHeight="1" x14ac:dyDescent="0.25">
      <c r="B291" s="24" t="s">
        <v>501</v>
      </c>
    </row>
    <row r="292" spans="2:2" ht="15" customHeight="1" x14ac:dyDescent="0.25">
      <c r="B292" s="23" t="s">
        <v>502</v>
      </c>
    </row>
    <row r="293" spans="2:2" ht="15" customHeight="1" x14ac:dyDescent="0.25">
      <c r="B293" s="24" t="s">
        <v>503</v>
      </c>
    </row>
    <row r="294" spans="2:2" ht="15" customHeight="1" x14ac:dyDescent="0.25">
      <c r="B294" s="23" t="s">
        <v>504</v>
      </c>
    </row>
    <row r="295" spans="2:2" ht="15" customHeight="1" x14ac:dyDescent="0.25">
      <c r="B295" s="24" t="s">
        <v>505</v>
      </c>
    </row>
    <row r="296" spans="2:2" ht="15" customHeight="1" x14ac:dyDescent="0.25">
      <c r="B296" s="23" t="s">
        <v>287</v>
      </c>
    </row>
    <row r="297" spans="2:2" ht="15" customHeight="1" x14ac:dyDescent="0.25">
      <c r="B297" s="26"/>
    </row>
  </sheetData>
  <mergeCells count="1">
    <mergeCell ref="B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54C7-58D8-4C27-9FD9-49AC7B87DDD2}">
  <dimension ref="A1:E4"/>
  <sheetViews>
    <sheetView workbookViewId="0">
      <selection activeCell="F14" sqref="F14"/>
    </sheetView>
  </sheetViews>
  <sheetFormatPr defaultRowHeight="15" x14ac:dyDescent="0.25"/>
  <sheetData>
    <row r="1" spans="1:5" x14ac:dyDescent="0.25">
      <c r="A1" t="s">
        <v>513</v>
      </c>
      <c r="B1" t="s">
        <v>31</v>
      </c>
      <c r="C1" t="s">
        <v>514</v>
      </c>
      <c r="D1" t="s">
        <v>515</v>
      </c>
      <c r="E1" t="s">
        <v>516</v>
      </c>
    </row>
    <row r="2" spans="1:5" x14ac:dyDescent="0.25">
      <c r="A2" s="42">
        <v>46103.523310185185</v>
      </c>
      <c r="B2" t="s">
        <v>512</v>
      </c>
      <c r="C2" t="s">
        <v>517</v>
      </c>
      <c r="D2" t="s">
        <v>518</v>
      </c>
      <c r="E2" t="s">
        <v>519</v>
      </c>
    </row>
    <row r="3" spans="1:5" x14ac:dyDescent="0.25">
      <c r="A3" s="42">
        <v>46103.524444444447</v>
      </c>
      <c r="B3" t="s">
        <v>520</v>
      </c>
      <c r="C3" t="s">
        <v>521</v>
      </c>
      <c r="D3" t="s">
        <v>522</v>
      </c>
      <c r="E3" t="s">
        <v>519</v>
      </c>
    </row>
    <row r="4" spans="1:5" x14ac:dyDescent="0.25">
      <c r="A4" s="42">
        <v>46103.525335648148</v>
      </c>
      <c r="B4" t="s">
        <v>512</v>
      </c>
      <c r="C4" t="s">
        <v>524</v>
      </c>
      <c r="D4" t="s">
        <v>525</v>
      </c>
      <c r="E4" t="s">
        <v>519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NEW MEMBER REGISTRATION</vt:lpstr>
      <vt:lpstr>MEMBER_DB</vt:lpstr>
      <vt:lpstr>EMPLOYER_GROUPS</vt:lpstr>
      <vt:lpstr>REPORTS</vt:lpstr>
      <vt:lpstr>VBA MODULE</vt:lpstr>
      <vt:lpstr>ACTIVITY_LOG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Carpe Diem</cp:lastModifiedBy>
  <cp:lastPrinted>2026-03-22T10:35:12Z</cp:lastPrinted>
  <dcterms:created xsi:type="dcterms:W3CDTF">2026-03-22T09:57:29Z</dcterms:created>
  <dcterms:modified xsi:type="dcterms:W3CDTF">2026-03-22T10:37:45Z</dcterms:modified>
</cp:coreProperties>
</file>